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ith\Desktop\"/>
    </mc:Choice>
  </mc:AlternateContent>
  <xr:revisionPtr revIDLastSave="0" documentId="13_ncr:1_{AEC19FFE-C516-45FE-9F14-A68B2EDE7C3E}" xr6:coauthVersionLast="47" xr6:coauthVersionMax="47" xr10:uidLastSave="{00000000-0000-0000-0000-000000000000}"/>
  <bookViews>
    <workbookView xWindow="0" yWindow="360" windowWidth="23256" windowHeight="12456" firstSheet="4" activeTab="6" xr2:uid="{E385C071-3B87-406D-9848-D9D367BDDBC3}"/>
  </bookViews>
  <sheets>
    <sheet name="Dashboard" sheetId="3" r:id="rId1"/>
    <sheet name="PivotTable-Product" sheetId="5" r:id="rId2"/>
    <sheet name="PivotTable-Region" sheetId="6" r:id="rId3"/>
    <sheet name="PivotTable-Salesperson" sheetId="7" r:id="rId4"/>
    <sheet name="PivotTable-Category" sheetId="8" r:id="rId5"/>
    <sheet name="PivotTable-Date" sheetId="12" r:id="rId6"/>
    <sheet name="Sales Data" sheetId="1" r:id="rId7"/>
  </sheet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3" i="1" l="1"/>
  <c r="H86" i="1"/>
  <c r="H85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<sst xmlns="http://schemas.openxmlformats.org/spreadsheetml/2006/main" count="631" uniqueCount="201">
  <si>
    <t>Order ID</t>
  </si>
  <si>
    <t>Order Date</t>
  </si>
  <si>
    <t>Customer</t>
  </si>
  <si>
    <t>Product</t>
  </si>
  <si>
    <t>Category</t>
  </si>
  <si>
    <t>Quantity</t>
  </si>
  <si>
    <t>Unit Price</t>
  </si>
  <si>
    <t>Total Sales</t>
  </si>
  <si>
    <t>Region</t>
  </si>
  <si>
    <t>Salesperson</t>
  </si>
  <si>
    <t>Kate Rapolai</t>
  </si>
  <si>
    <t>Derick Jones</t>
  </si>
  <si>
    <t>Jane Wilson</t>
  </si>
  <si>
    <t>Michael Lee</t>
  </si>
  <si>
    <t>Mary Smith</t>
  </si>
  <si>
    <t>Laptop</t>
  </si>
  <si>
    <t>Mouse</t>
  </si>
  <si>
    <t>Office Chair</t>
  </si>
  <si>
    <t>Keyboard</t>
  </si>
  <si>
    <t>Desk</t>
  </si>
  <si>
    <t>Electronics</t>
  </si>
  <si>
    <t>Furniture</t>
  </si>
  <si>
    <t>Gauteng</t>
  </si>
  <si>
    <t>Western Cape</t>
  </si>
  <si>
    <t>Kwazulu-Natal</t>
  </si>
  <si>
    <t>Free State</t>
  </si>
  <si>
    <t>Sarah</t>
  </si>
  <si>
    <t>Erick</t>
  </si>
  <si>
    <t>Linda</t>
  </si>
  <si>
    <t>Cathrine</t>
  </si>
  <si>
    <t>Jimmy</t>
  </si>
  <si>
    <t>14/1/2026</t>
  </si>
  <si>
    <t>16/1/2026</t>
  </si>
  <si>
    <t>19/1/2026</t>
  </si>
  <si>
    <t>20/1/2026</t>
  </si>
  <si>
    <t>23/1/2026</t>
  </si>
  <si>
    <t>Thabo Mokoena</t>
  </si>
  <si>
    <t>Naledi Dlamini</t>
  </si>
  <si>
    <t>Sipho Khumalo</t>
  </si>
  <si>
    <t>Lerato Matlawa</t>
  </si>
  <si>
    <t>Kabelo Molefe</t>
  </si>
  <si>
    <t>Ayanda Ndlovu</t>
  </si>
  <si>
    <t>Ivy Nkosi</t>
  </si>
  <si>
    <t>Themba Sithole</t>
  </si>
  <si>
    <t>Karabo Seabi</t>
  </si>
  <si>
    <t>Zanele Mthembu</t>
  </si>
  <si>
    <t>Brain Mahlangu</t>
  </si>
  <si>
    <t>Peter Masango</t>
  </si>
  <si>
    <t>Sibusiso Maseko</t>
  </si>
  <si>
    <t>Bontle Aphane</t>
  </si>
  <si>
    <t>Kgaogelo Matlala</t>
  </si>
  <si>
    <t>Tshepo Mogale</t>
  </si>
  <si>
    <t>Precious Mokoena</t>
  </si>
  <si>
    <t>Erick Rapolai</t>
  </si>
  <si>
    <t>Lindiwe Ncube</t>
  </si>
  <si>
    <t>Neo Ramaphosa</t>
  </si>
  <si>
    <t>Monitor</t>
  </si>
  <si>
    <t>Printer</t>
  </si>
  <si>
    <t>Limpopo</t>
  </si>
  <si>
    <t>Mpumalanga</t>
  </si>
  <si>
    <t>North West</t>
  </si>
  <si>
    <t>Eastern Cape</t>
  </si>
  <si>
    <t>Northern Cape</t>
  </si>
  <si>
    <t>Mike</t>
  </si>
  <si>
    <t>Billy</t>
  </si>
  <si>
    <t>Portia</t>
  </si>
  <si>
    <t>Zandile</t>
  </si>
  <si>
    <t>26/1/2026</t>
  </si>
  <si>
    <t>27/1/2026</t>
  </si>
  <si>
    <t>28/1/2026</t>
  </si>
  <si>
    <t>29/1/2026</t>
  </si>
  <si>
    <t>30/1/2026</t>
  </si>
  <si>
    <t>31/1/2026</t>
  </si>
  <si>
    <t>13/2/2026</t>
  </si>
  <si>
    <t>14/2/2026</t>
  </si>
  <si>
    <t>16/2/2026</t>
  </si>
  <si>
    <t>18/2/2026</t>
  </si>
  <si>
    <t>19/2/2026</t>
  </si>
  <si>
    <t>20/2/2026</t>
  </si>
  <si>
    <t>Andile Mohlala</t>
  </si>
  <si>
    <t>Khanyisa Dube</t>
  </si>
  <si>
    <t>Vusi Maila</t>
  </si>
  <si>
    <t>Nokuthula Zulu</t>
  </si>
  <si>
    <t>Mpho Nkosi</t>
  </si>
  <si>
    <t>Lebo Bopape</t>
  </si>
  <si>
    <t>Mike Peterson</t>
  </si>
  <si>
    <t>Bonolo Phiri</t>
  </si>
  <si>
    <t>Palesa Matlou</t>
  </si>
  <si>
    <t>Lerato Mawela</t>
  </si>
  <si>
    <t>John Twala</t>
  </si>
  <si>
    <t>Dineo Mogale</t>
  </si>
  <si>
    <t>Musa Buthelezi</t>
  </si>
  <si>
    <t>Kedibone Mphela</t>
  </si>
  <si>
    <t>Boitumelo Mokoena</t>
  </si>
  <si>
    <t>Faith Ndlovu</t>
  </si>
  <si>
    <t>Kgosi Mabona</t>
  </si>
  <si>
    <t>Refiloe Kekana</t>
  </si>
  <si>
    <t>Karabo Maleka</t>
  </si>
  <si>
    <t>Mpho Maseko</t>
  </si>
  <si>
    <t>Jimmy Mphahlele</t>
  </si>
  <si>
    <t>Robert Mphela</t>
  </si>
  <si>
    <t>Julia Mohlala</t>
  </si>
  <si>
    <t>Justice Mkhize</t>
  </si>
  <si>
    <t>Cedrick Tau</t>
  </si>
  <si>
    <t>Sam Masemola</t>
  </si>
  <si>
    <t>James</t>
  </si>
  <si>
    <t>David</t>
  </si>
  <si>
    <t>Paul</t>
  </si>
  <si>
    <t>23/2/2026</t>
  </si>
  <si>
    <t>25/2/2026</t>
  </si>
  <si>
    <t>26/2/2026</t>
  </si>
  <si>
    <t>27/2/2026</t>
  </si>
  <si>
    <t>28/2/2026</t>
  </si>
  <si>
    <t>14/3/2026</t>
  </si>
  <si>
    <t>18/3/2026</t>
  </si>
  <si>
    <t>19/3/2026</t>
  </si>
  <si>
    <t>20/3/2026</t>
  </si>
  <si>
    <t>23/3/2026</t>
  </si>
  <si>
    <t>24/3/2026</t>
  </si>
  <si>
    <t>25/3/2026</t>
  </si>
  <si>
    <t>26/3/2026</t>
  </si>
  <si>
    <t>28/3/2026</t>
  </si>
  <si>
    <t>30/3/2026</t>
  </si>
  <si>
    <t>Lethabo Mokoena</t>
  </si>
  <si>
    <t>Amanda Dlamini</t>
  </si>
  <si>
    <t>Kagiso Nkosi</t>
  </si>
  <si>
    <t>Zola Khumalo</t>
  </si>
  <si>
    <t>Thandi Mathebe</t>
  </si>
  <si>
    <t>Patric Maseko</t>
  </si>
  <si>
    <t>Nomsa Tladi</t>
  </si>
  <si>
    <t>Sibusiso Zulu</t>
  </si>
  <si>
    <t>Lesego Maphosa</t>
  </si>
  <si>
    <t>Andiswa Mphahlele</t>
  </si>
  <si>
    <t>Vuyani Sithole</t>
  </si>
  <si>
    <t>Bongi Phaahla</t>
  </si>
  <si>
    <t>Gift Mabena</t>
  </si>
  <si>
    <t>Themba Molefe</t>
  </si>
  <si>
    <t>Ayanda Zondo</t>
  </si>
  <si>
    <t>John Smith</t>
  </si>
  <si>
    <t>Benny Kgaphola</t>
  </si>
  <si>
    <t>James Khosa</t>
  </si>
  <si>
    <t>Karabo Dlamini</t>
  </si>
  <si>
    <t>Dennis Kekana</t>
  </si>
  <si>
    <t>Naledi Aphane</t>
  </si>
  <si>
    <t>Refiloe Khosa</t>
  </si>
  <si>
    <t>Lerato Makena</t>
  </si>
  <si>
    <t>Alfread Mabena</t>
  </si>
  <si>
    <t>Refiloe Matlala</t>
  </si>
  <si>
    <t>Mpho Tladi</t>
  </si>
  <si>
    <t>Amahle Ngubeni</t>
  </si>
  <si>
    <t>Ben Masango</t>
  </si>
  <si>
    <t>Keneiloe Maila</t>
  </si>
  <si>
    <t>Jacob Mphela</t>
  </si>
  <si>
    <t>Ayanda Ncube</t>
  </si>
  <si>
    <t>Collen</t>
  </si>
  <si>
    <t>Danny</t>
  </si>
  <si>
    <t>Olgar</t>
  </si>
  <si>
    <t>Prince</t>
  </si>
  <si>
    <t>Oratilwe</t>
  </si>
  <si>
    <t>John</t>
  </si>
  <si>
    <t>Kim</t>
  </si>
  <si>
    <t>Dimpho</t>
  </si>
  <si>
    <t>Row Labels</t>
  </si>
  <si>
    <t>Grand Total</t>
  </si>
  <si>
    <t>Sum of Total Sales</t>
  </si>
  <si>
    <t>Sales Analysis Dashboard</t>
  </si>
  <si>
    <t>Nompumelelo Nkosi</t>
  </si>
  <si>
    <t>Sum of Order ID</t>
  </si>
  <si>
    <t>23/2026</t>
  </si>
  <si>
    <t>13/3/206</t>
  </si>
  <si>
    <t>16/3/206</t>
  </si>
  <si>
    <t>31/3/206</t>
  </si>
  <si>
    <t>14/4/2026</t>
  </si>
  <si>
    <t>16/4/2026</t>
  </si>
  <si>
    <t>17/4/2026</t>
  </si>
  <si>
    <t>18/4/2026</t>
  </si>
  <si>
    <t>28/4/2026</t>
  </si>
  <si>
    <t>29/4/2026</t>
  </si>
  <si>
    <t>30/4/2026</t>
  </si>
  <si>
    <t>13/5/2026</t>
  </si>
  <si>
    <t>14/5/2026</t>
  </si>
  <si>
    <t>15/5/2026</t>
  </si>
  <si>
    <t>16/5/2026</t>
  </si>
  <si>
    <t>18/5/2026</t>
  </si>
  <si>
    <t>20/5/2026</t>
  </si>
  <si>
    <t>22/5/2026</t>
  </si>
  <si>
    <t>25/5/2026</t>
  </si>
  <si>
    <t>26/5/2026</t>
  </si>
  <si>
    <t>28/5/2026</t>
  </si>
  <si>
    <t>30/5/2026</t>
  </si>
  <si>
    <t>15/6/2026</t>
  </si>
  <si>
    <t>18/6/2026</t>
  </si>
  <si>
    <t>19/6/2026</t>
  </si>
  <si>
    <t>20/6/2026</t>
  </si>
  <si>
    <t>22/6/2026</t>
  </si>
  <si>
    <t>24/6/2026</t>
  </si>
  <si>
    <t>25/6/2026</t>
  </si>
  <si>
    <t>Jan</t>
  </si>
  <si>
    <t>Feb</t>
  </si>
  <si>
    <t>Mar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</si>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</sst>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2">
    <dxf>
      <numFmt numFmtId="19" formatCode="m/d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Dashboard.xlsx.xlsx]PivotTable-Product!PivotTable3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'PivotTable-Product'!$B$3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'PivotTable-Product'!$A$4:$A$11</c:f>
              <c:strCache>
                <c:ptCount val="7"/>
                <c:pt idx="0">
                  <c:v>Laptop</c:v>
                </c:pt>
                <c:pt idx="1">
                  <c:v>Office Chair</c:v>
                </c:pt>
                <c:pt idx="2">
                  <c:v>Monitor</c:v>
                </c:pt>
                <c:pt idx="3">
                  <c:v>Desk</c:v>
                </c:pt>
                <c:pt idx="4">
                  <c:v>Printer</c:v>
                </c:pt>
                <c:pt idx="5">
                  <c:v>Mouse</c:v>
                </c:pt>
                <c:pt idx="6">
                  <c:v>Keyboard</c:v>
                </c:pt>
              </c:strCache>
            </c:strRef>
          </c:cat>
          <c:val>
            <c:numRef>
              <c:f>'PivotTable-Product'!$B$4:$B$11</c:f>
              <c:numCache>
                <c:formatCode>General</c:formatCode>
                <c:ptCount val="7"/>
                <c:pt idx="0">
                  <c:v>360000</c:v>
                </c:pt>
                <c:pt idx="1">
                  <c:v>105000</c:v>
                </c:pt>
                <c:pt idx="2">
                  <c:v>98000</c:v>
                </c:pt>
                <c:pt idx="3">
                  <c:v>78400</c:v>
                </c:pt>
                <c:pt idx="4">
                  <c:v>71400</c:v>
                </c:pt>
                <c:pt idx="5">
                  <c:v>30250</c:v>
                </c:pt>
                <c:pt idx="6">
                  <c:v>28350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B7-4D40-8717-242BEE173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6846111"/>
        <c:axId val="286846591"/>
      </c:barChart>
      <c:catAx>
        <c:axId val="28684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846591"/>
        <c:crosses val="autoZero"/>
        <c:auto val="1"/>
        <c:lblAlgn val="ctr"/>
        <c:lblOffset val="100"/>
        <c:noMultiLvlLbl val="0"/>
      </c:catAx>
      <c:valAx>
        <c:axId val="28684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84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Dashboard.xlsx.xlsx]PivotTable-Region!PivotTable4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'PivotTable-Region'!$B$3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'PivotTable-Region'!$A$4:$A$13</c:f>
              <c:strCache>
                <c:ptCount val="9"/>
                <c:pt idx="0">
                  <c:v>Gauteng</c:v>
                </c:pt>
                <c:pt idx="1">
                  <c:v>Limpopo</c:v>
                </c:pt>
                <c:pt idx="2">
                  <c:v>Eastern Cape</c:v>
                </c:pt>
                <c:pt idx="3">
                  <c:v>Western Cape</c:v>
                </c:pt>
                <c:pt idx="4">
                  <c:v>Kwazulu-Natal</c:v>
                </c:pt>
                <c:pt idx="5">
                  <c:v>Free State</c:v>
                </c:pt>
                <c:pt idx="6">
                  <c:v>Mpumalanga</c:v>
                </c:pt>
                <c:pt idx="7">
                  <c:v>Northern Cape</c:v>
                </c:pt>
                <c:pt idx="8">
                  <c:v>North West</c:v>
                </c:pt>
              </c:strCache>
            </c:strRef>
          </c:cat>
          <c:val>
            <c:numRef>
              <c:f>'PivotTable-Region'!$B$4:$B$13</c:f>
              <c:numCache>
                <c:formatCode>General</c:formatCode>
                <c:ptCount val="9"/>
                <c:pt idx="0">
                  <c:v>193500</c:v>
                </c:pt>
                <c:pt idx="1">
                  <c:v>126250</c:v>
                </c:pt>
                <c:pt idx="2">
                  <c:v>125900</c:v>
                </c:pt>
                <c:pt idx="3">
                  <c:v>82900</c:v>
                </c:pt>
                <c:pt idx="4">
                  <c:v>80350</c:v>
                </c:pt>
                <c:pt idx="5">
                  <c:v>72100</c:v>
                </c:pt>
                <c:pt idx="6">
                  <c:v>46200</c:v>
                </c:pt>
                <c:pt idx="7">
                  <c:v>23800</c:v>
                </c:pt>
                <c:pt idx="8">
                  <c:v>20400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BE-48A9-9014-0D0D1E124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6851871"/>
        <c:axId val="286842751"/>
      </c:barChart>
      <c:catAx>
        <c:axId val="28685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842751"/>
        <c:crosses val="autoZero"/>
        <c:auto val="1"/>
        <c:lblAlgn val="ctr"/>
        <c:lblOffset val="100"/>
        <c:noMultiLvlLbl val="0"/>
      </c:catAx>
      <c:valAx>
        <c:axId val="28684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851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Dashboard.xlsx.xlsx]PivotTable-Salesperson!PivotTable5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Salesperson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'PivotTable-Salesperson'!$B$3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'PivotTable-Salesperson'!$A$4:$A$24</c:f>
              <c:strCache>
                <c:ptCount val="20"/>
                <c:pt idx="0">
                  <c:v>Sarah</c:v>
                </c:pt>
                <c:pt idx="1">
                  <c:v>Portia</c:v>
                </c:pt>
                <c:pt idx="2">
                  <c:v>James</c:v>
                </c:pt>
                <c:pt idx="3">
                  <c:v>Cathrine</c:v>
                </c:pt>
                <c:pt idx="4">
                  <c:v>Linda</c:v>
                </c:pt>
                <c:pt idx="5">
                  <c:v>Erick</c:v>
                </c:pt>
                <c:pt idx="6">
                  <c:v>Mike</c:v>
                </c:pt>
                <c:pt idx="7">
                  <c:v>Jimmy</c:v>
                </c:pt>
                <c:pt idx="8">
                  <c:v>Prince</c:v>
                </c:pt>
                <c:pt idx="9">
                  <c:v>David</c:v>
                </c:pt>
                <c:pt idx="10">
                  <c:v>Collen</c:v>
                </c:pt>
                <c:pt idx="11">
                  <c:v>Olgar</c:v>
                </c:pt>
                <c:pt idx="12">
                  <c:v>Billy</c:v>
                </c:pt>
                <c:pt idx="13">
                  <c:v>Danny</c:v>
                </c:pt>
                <c:pt idx="14">
                  <c:v>Zandile</c:v>
                </c:pt>
                <c:pt idx="15">
                  <c:v>Paul</c:v>
                </c:pt>
                <c:pt idx="16">
                  <c:v>John</c:v>
                </c:pt>
                <c:pt idx="17">
                  <c:v>Oratilwe</c:v>
                </c:pt>
                <c:pt idx="18">
                  <c:v>Dimpho</c:v>
                </c:pt>
                <c:pt idx="19">
                  <c:v>Kim</c:v>
                </c:pt>
              </c:strCache>
            </c:strRef>
          </c:cat>
          <c:val>
            <c:numRef>
              <c:f>'PivotTable-Salesperson'!$B$4:$B$24</c:f>
              <c:numCache>
                <c:formatCode>General</c:formatCode>
                <c:ptCount val="20"/>
                <c:pt idx="0">
                  <c:v>145900</c:v>
                </c:pt>
                <c:pt idx="1">
                  <c:v>89900</c:v>
                </c:pt>
                <c:pt idx="2">
                  <c:v>70500</c:v>
                </c:pt>
                <c:pt idx="3">
                  <c:v>65700</c:v>
                </c:pt>
                <c:pt idx="4">
                  <c:v>65400</c:v>
                </c:pt>
                <c:pt idx="5">
                  <c:v>58950</c:v>
                </c:pt>
                <c:pt idx="6">
                  <c:v>46100</c:v>
                </c:pt>
                <c:pt idx="7">
                  <c:v>42000</c:v>
                </c:pt>
                <c:pt idx="8">
                  <c:v>36000</c:v>
                </c:pt>
                <c:pt idx="9">
                  <c:v>30150</c:v>
                </c:pt>
                <c:pt idx="10">
                  <c:v>24450</c:v>
                </c:pt>
                <c:pt idx="11">
                  <c:v>21000</c:v>
                </c:pt>
                <c:pt idx="12">
                  <c:v>14800</c:v>
                </c:pt>
                <c:pt idx="13">
                  <c:v>14000</c:v>
                </c:pt>
                <c:pt idx="14">
                  <c:v>12600</c:v>
                </c:pt>
                <c:pt idx="15">
                  <c:v>10500</c:v>
                </c:pt>
                <c:pt idx="16">
                  <c:v>10500</c:v>
                </c:pt>
                <c:pt idx="17">
                  <c:v>5600</c:v>
                </c:pt>
                <c:pt idx="18">
                  <c:v>5600</c:v>
                </c:pt>
                <c:pt idx="19">
                  <c:v>1750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CB-4424-810A-4626A8779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6839391"/>
        <c:axId val="286838911"/>
      </c:barChart>
      <c:catAx>
        <c:axId val="28683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838911"/>
        <c:crosses val="autoZero"/>
        <c:auto val="1"/>
        <c:lblAlgn val="ctr"/>
        <c:lblOffset val="100"/>
        <c:noMultiLvlLbl val="0"/>
      </c:catAx>
      <c:valAx>
        <c:axId val="28683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839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Dashboard.xlsx.xlsx]PivotTable-Category!PivotTable6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'PivotTable-Category'!$B$3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'PivotTable-Category'!$A$4:$A$6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'PivotTable-Category'!$B$4:$B$6</c:f>
              <c:numCache>
                <c:formatCode>General</c:formatCode>
                <c:ptCount val="2"/>
                <c:pt idx="0">
                  <c:v>588000</c:v>
                </c:pt>
                <c:pt idx="1">
                  <c:v>183400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08-45DE-8C0E-18C552F9B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6857151"/>
        <c:axId val="286845631"/>
      </c:barChart>
      <c:catAx>
        <c:axId val="28685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845631"/>
        <c:crosses val="autoZero"/>
        <c:auto val="1"/>
        <c:lblAlgn val="ctr"/>
        <c:lblOffset val="100"/>
        <c:noMultiLvlLbl val="0"/>
      </c:catAx>
      <c:valAx>
        <c:axId val="28684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85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Dashboard.xlsx.xlsx]PivotTable-Date!PivotTable11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'PivotTable-Date'!$B$3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'PivotTable-Date'!$A$4:$A$8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'PivotTable-Date'!$B$4:$B$8</c:f>
              <c:numCache>
                <c:formatCode>General</c:formatCode>
                <c:ptCount val="4"/>
                <c:pt idx="0">
                  <c:v>31496</c:v>
                </c:pt>
                <c:pt idx="1">
                  <c:v>29274</c:v>
                </c:pt>
                <c:pt idx="2">
                  <c:v>33325</c:v>
                </c:pt>
                <c:pt idx="3">
                  <c:v>10955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38-402D-8221-6048F2FE1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7071680"/>
        <c:axId val="437072160"/>
      </c:barChart>
      <c:catAx>
        <c:axId val="43707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072160"/>
        <c:crosses val="autoZero"/>
        <c:auto val="1"/>
        <c:lblAlgn val="ctr"/>
        <c:lblOffset val="100"/>
        <c:noMultiLvlLbl val="0"/>
      </c:catAx>
      <c:valAx>
        <c:axId val="43707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07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Dashboard.xlsx.xlsx]PivotTable-Product!PivotTable3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'PivotTable-Product'!$B$3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'PivotTable-Product'!$A$4:$A$11</c:f>
              <c:strCache>
                <c:ptCount val="7"/>
                <c:pt idx="0">
                  <c:v>Laptop</c:v>
                </c:pt>
                <c:pt idx="1">
                  <c:v>Office Chair</c:v>
                </c:pt>
                <c:pt idx="2">
                  <c:v>Monitor</c:v>
                </c:pt>
                <c:pt idx="3">
                  <c:v>Desk</c:v>
                </c:pt>
                <c:pt idx="4">
                  <c:v>Printer</c:v>
                </c:pt>
                <c:pt idx="5">
                  <c:v>Mouse</c:v>
                </c:pt>
                <c:pt idx="6">
                  <c:v>Keyboard</c:v>
                </c:pt>
              </c:strCache>
            </c:strRef>
          </c:cat>
          <c:val>
            <c:numRef>
              <c:f>'PivotTable-Product'!$B$4:$B$11</c:f>
              <c:numCache>
                <c:formatCode>General</c:formatCode>
                <c:ptCount val="7"/>
                <c:pt idx="0">
                  <c:v>360000</c:v>
                </c:pt>
                <c:pt idx="1">
                  <c:v>105000</c:v>
                </c:pt>
                <c:pt idx="2">
                  <c:v>98000</c:v>
                </c:pt>
                <c:pt idx="3">
                  <c:v>78400</c:v>
                </c:pt>
                <c:pt idx="4">
                  <c:v>71400</c:v>
                </c:pt>
                <c:pt idx="5">
                  <c:v>30250</c:v>
                </c:pt>
                <c:pt idx="6">
                  <c:v>28350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09-4F1B-B020-DA5AECA31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6846111"/>
        <c:axId val="286846591"/>
      </c:barChart>
      <c:catAx>
        <c:axId val="28684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846591"/>
        <c:crosses val="autoZero"/>
        <c:auto val="1"/>
        <c:lblAlgn val="ctr"/>
        <c:lblOffset val="100"/>
        <c:noMultiLvlLbl val="0"/>
      </c:catAx>
      <c:valAx>
        <c:axId val="28684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84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Dashboard.xlsx.xlsx]PivotTable-Region!PivotTable4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'PivotTable-Region'!$B$3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'PivotTable-Region'!$A$4:$A$13</c:f>
              <c:strCache>
                <c:ptCount val="9"/>
                <c:pt idx="0">
                  <c:v>Gauteng</c:v>
                </c:pt>
                <c:pt idx="1">
                  <c:v>Limpopo</c:v>
                </c:pt>
                <c:pt idx="2">
                  <c:v>Eastern Cape</c:v>
                </c:pt>
                <c:pt idx="3">
                  <c:v>Western Cape</c:v>
                </c:pt>
                <c:pt idx="4">
                  <c:v>Kwazulu-Natal</c:v>
                </c:pt>
                <c:pt idx="5">
                  <c:v>Free State</c:v>
                </c:pt>
                <c:pt idx="6">
                  <c:v>Mpumalanga</c:v>
                </c:pt>
                <c:pt idx="7">
                  <c:v>Northern Cape</c:v>
                </c:pt>
                <c:pt idx="8">
                  <c:v>North West</c:v>
                </c:pt>
              </c:strCache>
            </c:strRef>
          </c:cat>
          <c:val>
            <c:numRef>
              <c:f>'PivotTable-Region'!$B$4:$B$13</c:f>
              <c:numCache>
                <c:formatCode>General</c:formatCode>
                <c:ptCount val="9"/>
                <c:pt idx="0">
                  <c:v>193500</c:v>
                </c:pt>
                <c:pt idx="1">
                  <c:v>126250</c:v>
                </c:pt>
                <c:pt idx="2">
                  <c:v>125900</c:v>
                </c:pt>
                <c:pt idx="3">
                  <c:v>82900</c:v>
                </c:pt>
                <c:pt idx="4">
                  <c:v>80350</c:v>
                </c:pt>
                <c:pt idx="5">
                  <c:v>72100</c:v>
                </c:pt>
                <c:pt idx="6">
                  <c:v>46200</c:v>
                </c:pt>
                <c:pt idx="7">
                  <c:v>23800</c:v>
                </c:pt>
                <c:pt idx="8">
                  <c:v>20400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83-4F2F-9FD1-6BE532551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6851871"/>
        <c:axId val="286842751"/>
      </c:barChart>
      <c:catAx>
        <c:axId val="28685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842751"/>
        <c:crosses val="autoZero"/>
        <c:auto val="1"/>
        <c:lblAlgn val="ctr"/>
        <c:lblOffset val="100"/>
        <c:noMultiLvlLbl val="0"/>
      </c:catAx>
      <c:valAx>
        <c:axId val="28684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851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Dashboard.xlsx.xlsx]PivotTable-Salesperson!PivotTable5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'PivotTable-Salesperson'!$B$3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'PivotTable-Salesperson'!$A$4:$A$24</c:f>
              <c:strCache>
                <c:ptCount val="20"/>
                <c:pt idx="0">
                  <c:v>Sarah</c:v>
                </c:pt>
                <c:pt idx="1">
                  <c:v>Portia</c:v>
                </c:pt>
                <c:pt idx="2">
                  <c:v>James</c:v>
                </c:pt>
                <c:pt idx="3">
                  <c:v>Cathrine</c:v>
                </c:pt>
                <c:pt idx="4">
                  <c:v>Linda</c:v>
                </c:pt>
                <c:pt idx="5">
                  <c:v>Erick</c:v>
                </c:pt>
                <c:pt idx="6">
                  <c:v>Mike</c:v>
                </c:pt>
                <c:pt idx="7">
                  <c:v>Jimmy</c:v>
                </c:pt>
                <c:pt idx="8">
                  <c:v>Prince</c:v>
                </c:pt>
                <c:pt idx="9">
                  <c:v>David</c:v>
                </c:pt>
                <c:pt idx="10">
                  <c:v>Collen</c:v>
                </c:pt>
                <c:pt idx="11">
                  <c:v>Olgar</c:v>
                </c:pt>
                <c:pt idx="12">
                  <c:v>Billy</c:v>
                </c:pt>
                <c:pt idx="13">
                  <c:v>Danny</c:v>
                </c:pt>
                <c:pt idx="14">
                  <c:v>Zandile</c:v>
                </c:pt>
                <c:pt idx="15">
                  <c:v>Paul</c:v>
                </c:pt>
                <c:pt idx="16">
                  <c:v>John</c:v>
                </c:pt>
                <c:pt idx="17">
                  <c:v>Oratilwe</c:v>
                </c:pt>
                <c:pt idx="18">
                  <c:v>Dimpho</c:v>
                </c:pt>
                <c:pt idx="19">
                  <c:v>Kim</c:v>
                </c:pt>
              </c:strCache>
            </c:strRef>
          </c:cat>
          <c:val>
            <c:numRef>
              <c:f>'PivotTable-Salesperson'!$B$4:$B$24</c:f>
              <c:numCache>
                <c:formatCode>General</c:formatCode>
                <c:ptCount val="20"/>
                <c:pt idx="0">
                  <c:v>145900</c:v>
                </c:pt>
                <c:pt idx="1">
                  <c:v>89900</c:v>
                </c:pt>
                <c:pt idx="2">
                  <c:v>70500</c:v>
                </c:pt>
                <c:pt idx="3">
                  <c:v>65700</c:v>
                </c:pt>
                <c:pt idx="4">
                  <c:v>65400</c:v>
                </c:pt>
                <c:pt idx="5">
                  <c:v>58950</c:v>
                </c:pt>
                <c:pt idx="6">
                  <c:v>46100</c:v>
                </c:pt>
                <c:pt idx="7">
                  <c:v>42000</c:v>
                </c:pt>
                <c:pt idx="8">
                  <c:v>36000</c:v>
                </c:pt>
                <c:pt idx="9">
                  <c:v>30150</c:v>
                </c:pt>
                <c:pt idx="10">
                  <c:v>24450</c:v>
                </c:pt>
                <c:pt idx="11">
                  <c:v>21000</c:v>
                </c:pt>
                <c:pt idx="12">
                  <c:v>14800</c:v>
                </c:pt>
                <c:pt idx="13">
                  <c:v>14000</c:v>
                </c:pt>
                <c:pt idx="14">
                  <c:v>12600</c:v>
                </c:pt>
                <c:pt idx="15">
                  <c:v>10500</c:v>
                </c:pt>
                <c:pt idx="16">
                  <c:v>10500</c:v>
                </c:pt>
                <c:pt idx="17">
                  <c:v>5600</c:v>
                </c:pt>
                <c:pt idx="18">
                  <c:v>5600</c:v>
                </c:pt>
                <c:pt idx="19">
                  <c:v>1750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14-4C2B-89F5-64694C8CD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6839391"/>
        <c:axId val="286838911"/>
      </c:barChart>
      <c:catAx>
        <c:axId val="28683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838911"/>
        <c:crosses val="autoZero"/>
        <c:auto val="1"/>
        <c:lblAlgn val="ctr"/>
        <c:lblOffset val="100"/>
        <c:noMultiLvlLbl val="0"/>
      </c:catAx>
      <c:valAx>
        <c:axId val="28683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839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Dashboard.xlsx.xlsx]PivotTable-Category!PivotTable6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'PivotTable-Category'!$B$3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'PivotTable-Category'!$A$4:$A$6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'PivotTable-Category'!$B$4:$B$6</c:f>
              <c:numCache>
                <c:formatCode>General</c:formatCode>
                <c:ptCount val="2"/>
                <c:pt idx="0">
                  <c:v>588000</c:v>
                </c:pt>
                <c:pt idx="1">
                  <c:v>183400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31-449D-9064-BC35D20DF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6857151"/>
        <c:axId val="286845631"/>
      </c:barChart>
      <c:catAx>
        <c:axId val="28685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845631"/>
        <c:crosses val="autoZero"/>
        <c:auto val="1"/>
        <c:lblAlgn val="ctr"/>
        <c:lblOffset val="100"/>
        <c:noMultiLvlLbl val="0"/>
      </c:catAx>
      <c:valAx>
        <c:axId val="28684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85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Dashboard.xlsx.xlsx]PivotTable-Date!PivotTable11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'PivotTable-Date'!$B$3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'PivotTable-Date'!$A$4:$A$8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'PivotTable-Date'!$B$4:$B$8</c:f>
              <c:numCache>
                <c:formatCode>General</c:formatCode>
                <c:ptCount val="4"/>
                <c:pt idx="0">
                  <c:v>31496</c:v>
                </c:pt>
                <c:pt idx="1">
                  <c:v>29274</c:v>
                </c:pt>
                <c:pt idx="2">
                  <c:v>33325</c:v>
                </c:pt>
                <c:pt idx="3">
                  <c:v>10955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C9-4251-A064-DA2F43D6A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7071680"/>
        <c:axId val="437072160"/>
      </c:barChart>
      <c:catAx>
        <c:axId val="43707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072160"/>
        <c:crosses val="autoZero"/>
        <c:auto val="1"/>
        <c:lblAlgn val="ctr"/>
        <c:lblOffset val="100"/>
        <c:noMultiLvlLbl val="0"/>
      </c:catAx>
      <c:valAx>
        <c:axId val="43707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07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259080</xdr:colOff>
      <xdr:row>2</xdr:row>
      <xdr:rowOff>167640</xdr:rowOff>
    </xdr:from>
    <xdr:to>
      <xdr:col>4</xdr:col>
      <xdr:colOff>251460</xdr:colOff>
      <xdr:row>18</xdr:row>
      <xdr:rowOff>152400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787C900-9AAD-4A98-83A9-304BF5EBD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419100</xdr:colOff>
      <xdr:row>2</xdr:row>
      <xdr:rowOff>175260</xdr:rowOff>
    </xdr:from>
    <xdr:to>
      <xdr:col>20</xdr:col>
      <xdr:colOff>487680</xdr:colOff>
      <xdr:row>18</xdr:row>
      <xdr:rowOff>160020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967C1CA-BD41-4C33-9253-F6764B60D4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220980</xdr:colOff>
      <xdr:row>20</xdr:row>
      <xdr:rowOff>160020</xdr:rowOff>
    </xdr:from>
    <xdr:to>
      <xdr:col>4</xdr:col>
      <xdr:colOff>259080</xdr:colOff>
      <xdr:row>36</xdr:row>
      <xdr:rowOff>91440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4434E05-9E4F-4044-A7A2-7B9BDD9B31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220980</xdr:colOff>
      <xdr:row>3</xdr:row>
      <xdr:rowOff>0</xdr:rowOff>
    </xdr:from>
    <xdr:to>
      <xdr:col>12</xdr:col>
      <xdr:colOff>533400</xdr:colOff>
      <xdr:row>18</xdr:row>
      <xdr:rowOff>160020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D90E84F-3362-4A77-AE1F-7376B15765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220980</xdr:colOff>
      <xdr:row>20</xdr:row>
      <xdr:rowOff>175260</xdr:rowOff>
    </xdr:from>
    <xdr:to>
      <xdr:col>12</xdr:col>
      <xdr:colOff>525780</xdr:colOff>
      <xdr:row>36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8D4BB8-6863-4F47-9BD7-B25086CFF0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430530</xdr:colOff>
      <xdr:row>5</xdr:row>
      <xdr:rowOff>167640</xdr:rowOff>
    </xdr:from>
    <xdr:to>
      <xdr:col>10</xdr:col>
      <xdr:colOff>308610</xdr:colOff>
      <xdr:row>21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07C512-A604-83AB-2FA1-7285EB355C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407670</xdr:colOff>
      <xdr:row>5</xdr:row>
      <xdr:rowOff>167640</xdr:rowOff>
    </xdr:from>
    <xdr:to>
      <xdr:col>10</xdr:col>
      <xdr:colOff>285750</xdr:colOff>
      <xdr:row>21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D3EBA4-FF14-CF67-1C08-06FDF3E444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430530</xdr:colOff>
      <xdr:row>5</xdr:row>
      <xdr:rowOff>167640</xdr:rowOff>
    </xdr:from>
    <xdr:to>
      <xdr:col>10</xdr:col>
      <xdr:colOff>308610</xdr:colOff>
      <xdr:row>21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649679-049E-58EC-328D-603236BE09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430530</xdr:colOff>
      <xdr:row>5</xdr:row>
      <xdr:rowOff>167640</xdr:rowOff>
    </xdr:from>
    <xdr:to>
      <xdr:col>10</xdr:col>
      <xdr:colOff>308610</xdr:colOff>
      <xdr:row>21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8E4118-C6CA-8F95-049B-C85424C5D4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</xdr:colOff>
      <xdr:row>6</xdr:row>
      <xdr:rowOff>41910</xdr:rowOff>
    </xdr:from>
    <xdr:to>
      <xdr:col>11</xdr:col>
      <xdr:colOff>403860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F560A0-185F-DE3D-8DD1-7610C2617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ith" refreshedDate="46229.005638773146" createdVersion="8" refreshedVersion="8" minRefreshableVersion="3" recordCount="100" xr:uid="{8076BE6A-4E7C-4BE4-A46A-D334D0A991E4}">
  <cacheSource type="worksheet">
    <worksheetSource name="Table1"/>
  </cacheSource>
  <cacheFields count="12">
    <cacheField name="Order ID" numFmtId="0">
      <sharedItems containsSemiMixedTypes="0" containsString="0" containsNumber="1" containsInteger="1" minValue="1001" maxValue="1100"/>
    </cacheField>
    <cacheField name="Order Date" numFmtId="14">
      <sharedItems containsSemiMixedTypes="0" containsNonDate="0" containsDate="1" containsString="0" minDate="2026-01-01T00:00:00" maxDate="2026-12-04T00:00:00" count="130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5-01T00:00:00" u="1"/>
        <d v="2026-06-01T00:00:00" u="1"/>
        <d v="2026-07-01T00:00:00" u="1"/>
        <d v="2026-08-01T00:00:00" u="1"/>
        <d v="2026-09-01T00:00:00" u="1"/>
        <d v="2026-10-01T00:00:00" u="1"/>
        <d v="2026-11-01T00:00:00" u="1"/>
        <d v="2026-12-01T00:00:00" u="1"/>
        <d v="2026-05-02T00:00:00" u="1"/>
        <d v="2026-06-02T00:00:00" u="1"/>
        <d v="2026-07-02T00:00:00" u="1"/>
        <d v="2026-08-02T00:00:00" u="1"/>
        <d v="2026-09-02T00:00:00" u="1"/>
        <d v="2026-10-02T00:00:00" u="1"/>
        <d v="2026-11-02T00:00:00" u="1"/>
        <d v="2026-12-02T00:00:00" u="1"/>
        <d v="2026-05-03T00:00:00" u="1"/>
        <d v="2026-06-03T00:00:00" u="1"/>
        <d v="2026-07-03T00:00:00" u="1"/>
        <d v="2026-08-03T00:00:00" u="1"/>
        <d v="2026-09-03T00:00:00" u="1"/>
        <d v="2026-10-03T00:00:00" u="1"/>
        <d v="2026-11-03T00:00:00" u="1"/>
        <d v="2026-12-03T00:00:00" u="1"/>
        <d v="2026-05-04T00:00:00" u="1"/>
        <d v="2026-06-04T00:00:00" u="1"/>
        <d v="2026-07-04T00:00:00" u="1"/>
        <d v="2026-08-04T00:00:00" u="1"/>
        <d v="2026-09-04T00:00:00" u="1"/>
        <d v="2026-10-04T00:00:00" u="1"/>
      </sharedItems>
      <fieldGroup par="11"/>
    </cacheField>
    <cacheField name="Customer" numFmtId="0">
      <sharedItems/>
    </cacheField>
    <cacheField name="Product" numFmtId="0">
      <sharedItems count="7">
        <s v="Laptop"/>
        <s v="Mouse"/>
        <s v="Office Chair"/>
        <s v="Keyboard"/>
        <s v="Desk"/>
        <s v="Monitor"/>
        <s v="Printer"/>
      </sharedItems>
    </cacheField>
    <cacheField name="Category" numFmtId="0">
      <sharedItems count="2">
        <s v="Electronics"/>
        <s v="Furniture"/>
      </sharedItems>
    </cacheField>
    <cacheField name="Quantity" numFmtId="0">
      <sharedItems containsSemiMixedTypes="0" containsString="0" containsNumber="1" containsInteger="1" minValue="1" maxValue="10"/>
    </cacheField>
    <cacheField name="Unit Price" numFmtId="0">
      <sharedItems containsSemiMixedTypes="0" containsString="0" containsNumber="1" containsInteger="1" minValue="250" maxValue="12000"/>
    </cacheField>
    <cacheField name="Total Sales" numFmtId="0">
      <sharedItems containsSemiMixedTypes="0" containsString="0" containsNumber="1" containsInteger="1" minValue="1250" maxValue="36000"/>
    </cacheField>
    <cacheField name="Region" numFmtId="0">
      <sharedItems count="9">
        <s v="Gauteng"/>
        <s v="Western Cape"/>
        <s v="Kwazulu-Natal"/>
        <s v="Free State"/>
        <s v="Limpopo"/>
        <s v="Mpumalanga"/>
        <s v="North West"/>
        <s v="Eastern Cape"/>
        <s v="Northern Cape"/>
      </sharedItems>
    </cacheField>
    <cacheField name="Salesperson" numFmtId="0">
      <sharedItems count="20">
        <s v="Sarah"/>
        <s v="Erick"/>
        <s v="Linda"/>
        <s v="Jimmy"/>
        <s v="Cathrine"/>
        <s v="Mike"/>
        <s v="Billy"/>
        <s v="Portia"/>
        <s v="Zandile"/>
        <s v="James"/>
        <s v="David"/>
        <s v="Paul"/>
        <s v="Collen"/>
        <s v="Danny"/>
        <s v="Olgar"/>
        <s v="Prince"/>
        <s v="Oratilwe"/>
        <s v="John"/>
        <s v="Kim"/>
        <s v="Dimpho"/>
      </sharedItems>
    </cacheField>
    <cacheField name="Days (Order Date)" numFmtId="0" databaseField="0">
      <fieldGroup base="1">
        <rangePr groupBy="days" startDate="2026-01-01T00:00:00" endDate="2026-12-04T00:00:00"/>
        <groupItems count="368">
          <s v="&lt;1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4/2026"/>
        </groupItems>
      </fieldGroup>
    </cacheField>
    <cacheField name="Months (Order Date)" numFmtId="0" databaseField="0">
      <fieldGroup base="1">
        <rangePr groupBy="months" startDate="2026-01-01T00:00:00" endDate="2026-12-04T00:00:00"/>
        <groupItems count="14">
          <s v="&lt;1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4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001"/>
    <x v="0"/>
    <s v="Kate Rapolai"/>
    <x v="0"/>
    <x v="0"/>
    <n v="2"/>
    <n v="12000"/>
    <n v="24000"/>
    <x v="0"/>
    <x v="0"/>
  </r>
  <r>
    <n v="1002"/>
    <x v="1"/>
    <s v="Derick Jones"/>
    <x v="1"/>
    <x v="0"/>
    <n v="5"/>
    <n v="250"/>
    <n v="1250"/>
    <x v="1"/>
    <x v="1"/>
  </r>
  <r>
    <n v="1003"/>
    <x v="2"/>
    <s v="Jane Wilson"/>
    <x v="2"/>
    <x v="1"/>
    <n v="1"/>
    <n v="3500"/>
    <n v="3500"/>
    <x v="2"/>
    <x v="2"/>
  </r>
  <r>
    <n v="1004"/>
    <x v="3"/>
    <s v="Michael Lee"/>
    <x v="3"/>
    <x v="0"/>
    <n v="3"/>
    <n v="450"/>
    <n v="1350"/>
    <x v="0"/>
    <x v="0"/>
  </r>
  <r>
    <n v="1005"/>
    <x v="4"/>
    <s v="Mary Smith"/>
    <x v="4"/>
    <x v="1"/>
    <n v="2"/>
    <n v="2800"/>
    <n v="5600"/>
    <x v="3"/>
    <x v="3"/>
  </r>
  <r>
    <n v="1006"/>
    <x v="5"/>
    <s v="Thabo Mokoena"/>
    <x v="5"/>
    <x v="0"/>
    <n v="1"/>
    <n v="3500"/>
    <n v="3500"/>
    <x v="0"/>
    <x v="0"/>
  </r>
  <r>
    <n v="1007"/>
    <x v="6"/>
    <s v="Naledi Dlamini"/>
    <x v="6"/>
    <x v="0"/>
    <n v="2"/>
    <n v="4200"/>
    <n v="8400"/>
    <x v="4"/>
    <x v="4"/>
  </r>
  <r>
    <n v="1008"/>
    <x v="7"/>
    <s v="Sipho Khumalo"/>
    <x v="4"/>
    <x v="1"/>
    <n v="3"/>
    <n v="2800"/>
    <n v="8400"/>
    <x v="5"/>
    <x v="5"/>
  </r>
  <r>
    <n v="1009"/>
    <x v="8"/>
    <s v="Lerato Matlawa"/>
    <x v="2"/>
    <x v="1"/>
    <n v="2"/>
    <n v="3500"/>
    <n v="7000"/>
    <x v="3"/>
    <x v="3"/>
  </r>
  <r>
    <n v="1010"/>
    <x v="9"/>
    <s v="Kabelo Molefe"/>
    <x v="3"/>
    <x v="0"/>
    <n v="5"/>
    <n v="450"/>
    <n v="2250"/>
    <x v="0"/>
    <x v="0"/>
  </r>
  <r>
    <n v="1011"/>
    <x v="10"/>
    <s v="Ayanda Ndlovu"/>
    <x v="0"/>
    <x v="0"/>
    <n v="1"/>
    <n v="12000"/>
    <n v="12000"/>
    <x v="6"/>
    <x v="6"/>
  </r>
  <r>
    <n v="1012"/>
    <x v="11"/>
    <s v="Ivy Nkosi"/>
    <x v="1"/>
    <x v="0"/>
    <n v="8"/>
    <n v="250"/>
    <n v="2000"/>
    <x v="2"/>
    <x v="2"/>
  </r>
  <r>
    <n v="1013"/>
    <x v="12"/>
    <s v="Themba Sithole"/>
    <x v="4"/>
    <x v="1"/>
    <n v="2"/>
    <n v="2800"/>
    <n v="5600"/>
    <x v="7"/>
    <x v="7"/>
  </r>
  <r>
    <n v="1014"/>
    <x v="13"/>
    <s v="Karabo Seabi"/>
    <x v="5"/>
    <x v="0"/>
    <n v="4"/>
    <n v="3500"/>
    <n v="14000"/>
    <x v="0"/>
    <x v="0"/>
  </r>
  <r>
    <n v="1015"/>
    <x v="14"/>
    <s v="Zanele Mthembu"/>
    <x v="6"/>
    <x v="0"/>
    <n v="2"/>
    <n v="4200"/>
    <n v="8400"/>
    <x v="4"/>
    <x v="4"/>
  </r>
  <r>
    <n v="1016"/>
    <x v="15"/>
    <s v="Brain Mahlangu"/>
    <x v="0"/>
    <x v="0"/>
    <n v="3"/>
    <n v="12000"/>
    <n v="36000"/>
    <x v="1"/>
    <x v="1"/>
  </r>
  <r>
    <n v="1017"/>
    <x v="16"/>
    <s v="Peter Masango"/>
    <x v="3"/>
    <x v="0"/>
    <n v="6"/>
    <n v="450"/>
    <n v="2700"/>
    <x v="0"/>
    <x v="0"/>
  </r>
  <r>
    <n v="1018"/>
    <x v="17"/>
    <s v="Sibusiso Maseko"/>
    <x v="2"/>
    <x v="1"/>
    <n v="2"/>
    <n v="3500"/>
    <n v="7000"/>
    <x v="5"/>
    <x v="5"/>
  </r>
  <r>
    <n v="1019"/>
    <x v="18"/>
    <s v="Bontle Aphane"/>
    <x v="1"/>
    <x v="0"/>
    <n v="10"/>
    <n v="250"/>
    <n v="2500"/>
    <x v="4"/>
    <x v="4"/>
  </r>
  <r>
    <n v="1020"/>
    <x v="19"/>
    <s v="Kgaogelo Matlala"/>
    <x v="4"/>
    <x v="1"/>
    <n v="1"/>
    <n v="2800"/>
    <n v="2800"/>
    <x v="3"/>
    <x v="3"/>
  </r>
  <r>
    <n v="1021"/>
    <x v="20"/>
    <s v="Tshepo Mogale"/>
    <x v="5"/>
    <x v="0"/>
    <n v="2"/>
    <n v="3500"/>
    <n v="7000"/>
    <x v="0"/>
    <x v="0"/>
  </r>
  <r>
    <n v="1022"/>
    <x v="21"/>
    <s v="Precious Mokoena"/>
    <x v="6"/>
    <x v="0"/>
    <n v="1"/>
    <n v="4200"/>
    <n v="4200"/>
    <x v="8"/>
    <x v="8"/>
  </r>
  <r>
    <n v="1023"/>
    <x v="22"/>
    <s v="Erick Rapolai"/>
    <x v="0"/>
    <x v="0"/>
    <n v="2"/>
    <n v="12000"/>
    <n v="24000"/>
    <x v="2"/>
    <x v="2"/>
  </r>
  <r>
    <n v="1024"/>
    <x v="23"/>
    <s v="Lindiwe Ncube"/>
    <x v="3"/>
    <x v="0"/>
    <n v="4"/>
    <n v="450"/>
    <n v="1800"/>
    <x v="7"/>
    <x v="7"/>
  </r>
  <r>
    <n v="1025"/>
    <x v="24"/>
    <s v="Neo Ramaphosa"/>
    <x v="2"/>
    <x v="1"/>
    <n v="1"/>
    <n v="3500"/>
    <n v="3500"/>
    <x v="0"/>
    <x v="0"/>
  </r>
  <r>
    <n v="1026"/>
    <x v="25"/>
    <s v="Andile Mohlala"/>
    <x v="0"/>
    <x v="0"/>
    <n v="1"/>
    <n v="12000"/>
    <n v="12000"/>
    <x v="0"/>
    <x v="0"/>
  </r>
  <r>
    <n v="1027"/>
    <x v="26"/>
    <s v="Khanyisa Dube"/>
    <x v="1"/>
    <x v="0"/>
    <n v="6"/>
    <n v="250"/>
    <n v="1500"/>
    <x v="1"/>
    <x v="1"/>
  </r>
  <r>
    <n v="1028"/>
    <x v="27"/>
    <s v="Vusi Maila"/>
    <x v="2"/>
    <x v="1"/>
    <n v="2"/>
    <n v="3500"/>
    <n v="7000"/>
    <x v="4"/>
    <x v="4"/>
  </r>
  <r>
    <n v="1029"/>
    <x v="28"/>
    <s v="Nokuthula Zulu"/>
    <x v="4"/>
    <x v="1"/>
    <n v="1"/>
    <n v="2800"/>
    <n v="2800"/>
    <x v="5"/>
    <x v="5"/>
  </r>
  <r>
    <n v="1030"/>
    <x v="29"/>
    <s v="Mpho Nkosi"/>
    <x v="3"/>
    <x v="0"/>
    <n v="4"/>
    <n v="450"/>
    <n v="1800"/>
    <x v="0"/>
    <x v="0"/>
  </r>
  <r>
    <n v="1031"/>
    <x v="30"/>
    <s v="Lebo Bopape"/>
    <x v="5"/>
    <x v="0"/>
    <n v="2"/>
    <n v="3500"/>
    <n v="7000"/>
    <x v="3"/>
    <x v="3"/>
  </r>
  <r>
    <n v="1032"/>
    <x v="31"/>
    <s v="Mike Peterson"/>
    <x v="6"/>
    <x v="0"/>
    <n v="1"/>
    <n v="4200"/>
    <n v="4200"/>
    <x v="2"/>
    <x v="2"/>
  </r>
  <r>
    <n v="1033"/>
    <x v="32"/>
    <s v="Bonolo Phiri"/>
    <x v="0"/>
    <x v="0"/>
    <n v="2"/>
    <n v="12000"/>
    <n v="24000"/>
    <x v="7"/>
    <x v="9"/>
  </r>
  <r>
    <n v="1034"/>
    <x v="33"/>
    <s v="Palesa Matlou"/>
    <x v="1"/>
    <x v="0"/>
    <n v="7"/>
    <n v="250"/>
    <n v="1750"/>
    <x v="0"/>
    <x v="0"/>
  </r>
  <r>
    <n v="1035"/>
    <x v="34"/>
    <s v="Lerato Mawela"/>
    <x v="4"/>
    <x v="1"/>
    <n v="3"/>
    <n v="2800"/>
    <n v="8400"/>
    <x v="1"/>
    <x v="10"/>
  </r>
  <r>
    <n v="1036"/>
    <x v="35"/>
    <s v="John Twala"/>
    <x v="2"/>
    <x v="1"/>
    <n v="1"/>
    <n v="3500"/>
    <n v="3500"/>
    <x v="3"/>
    <x v="2"/>
  </r>
  <r>
    <n v="1037"/>
    <x v="36"/>
    <s v="Dineo Mogale"/>
    <x v="3"/>
    <x v="0"/>
    <n v="5"/>
    <n v="450"/>
    <n v="2250"/>
    <x v="2"/>
    <x v="1"/>
  </r>
  <r>
    <n v="1038"/>
    <x v="37"/>
    <s v="Musa Buthelezi"/>
    <x v="5"/>
    <x v="0"/>
    <n v="3"/>
    <n v="3500"/>
    <n v="10500"/>
    <x v="0"/>
    <x v="11"/>
  </r>
  <r>
    <n v="1039"/>
    <x v="38"/>
    <s v="Kedibone Mphela"/>
    <x v="6"/>
    <x v="0"/>
    <n v="2"/>
    <n v="4200"/>
    <n v="8400"/>
    <x v="5"/>
    <x v="5"/>
  </r>
  <r>
    <n v="1040"/>
    <x v="39"/>
    <s v="Boitumelo Mokoena"/>
    <x v="0"/>
    <x v="0"/>
    <n v="1"/>
    <n v="12000"/>
    <n v="12000"/>
    <x v="7"/>
    <x v="7"/>
  </r>
  <r>
    <n v="1041"/>
    <x v="40"/>
    <s v="Faith Ndlovu"/>
    <x v="1"/>
    <x v="0"/>
    <n v="8"/>
    <n v="250"/>
    <n v="2000"/>
    <x v="0"/>
    <x v="4"/>
  </r>
  <r>
    <n v="1042"/>
    <x v="41"/>
    <s v="Kgosi Mabona"/>
    <x v="4"/>
    <x v="1"/>
    <n v="2"/>
    <n v="2800"/>
    <n v="5600"/>
    <x v="8"/>
    <x v="8"/>
  </r>
  <r>
    <n v="1043"/>
    <x v="42"/>
    <s v="Refiloe Kekana"/>
    <x v="2"/>
    <x v="1"/>
    <n v="2"/>
    <n v="3500"/>
    <n v="7000"/>
    <x v="0"/>
    <x v="0"/>
  </r>
  <r>
    <n v="1044"/>
    <x v="43"/>
    <s v="Karabo Maleka"/>
    <x v="3"/>
    <x v="0"/>
    <n v="6"/>
    <n v="450"/>
    <n v="2700"/>
    <x v="4"/>
    <x v="5"/>
  </r>
  <r>
    <n v="1045"/>
    <x v="44"/>
    <s v="Mpho Maseko"/>
    <x v="5"/>
    <x v="0"/>
    <n v="2"/>
    <n v="3500"/>
    <n v="7000"/>
    <x v="1"/>
    <x v="10"/>
  </r>
  <r>
    <n v="1046"/>
    <x v="45"/>
    <s v="Jimmy Mphahlele"/>
    <x v="6"/>
    <x v="0"/>
    <n v="1"/>
    <n v="4200"/>
    <n v="4200"/>
    <x v="3"/>
    <x v="3"/>
  </r>
  <r>
    <n v="1047"/>
    <x v="46"/>
    <s v="Robert Mphela"/>
    <x v="0"/>
    <x v="0"/>
    <n v="2"/>
    <n v="12000"/>
    <n v="24000"/>
    <x v="0"/>
    <x v="0"/>
  </r>
  <r>
    <n v="1048"/>
    <x v="47"/>
    <s v="Julia Mohlala"/>
    <x v="1"/>
    <x v="0"/>
    <n v="9"/>
    <n v="250"/>
    <n v="2250"/>
    <x v="4"/>
    <x v="4"/>
  </r>
  <r>
    <n v="1049"/>
    <x v="48"/>
    <s v="Justice Mkhize"/>
    <x v="4"/>
    <x v="1"/>
    <n v="1"/>
    <n v="2800"/>
    <n v="2800"/>
    <x v="5"/>
    <x v="5"/>
  </r>
  <r>
    <n v="1050"/>
    <x v="49"/>
    <s v="Cedrick Tau"/>
    <x v="2"/>
    <x v="1"/>
    <n v="3"/>
    <n v="3500"/>
    <n v="10500"/>
    <x v="4"/>
    <x v="4"/>
  </r>
  <r>
    <n v="1051"/>
    <x v="50"/>
    <s v="Sam Masemola"/>
    <x v="0"/>
    <x v="0"/>
    <n v="1"/>
    <n v="12000"/>
    <n v="12000"/>
    <x v="0"/>
    <x v="0"/>
  </r>
  <r>
    <n v="1052"/>
    <x v="51"/>
    <s v="Lethabo Mokoena"/>
    <x v="1"/>
    <x v="0"/>
    <n v="7"/>
    <n v="250"/>
    <n v="1750"/>
    <x v="1"/>
    <x v="1"/>
  </r>
  <r>
    <n v="1053"/>
    <x v="52"/>
    <s v="Amanda Dlamini"/>
    <x v="2"/>
    <x v="1"/>
    <n v="2"/>
    <n v="3500"/>
    <n v="7000"/>
    <x v="4"/>
    <x v="4"/>
  </r>
  <r>
    <n v="1054"/>
    <x v="53"/>
    <s v="Kagiso Nkosi"/>
    <x v="4"/>
    <x v="1"/>
    <n v="2"/>
    <n v="2800"/>
    <n v="5600"/>
    <x v="5"/>
    <x v="5"/>
  </r>
  <r>
    <n v="1055"/>
    <x v="54"/>
    <s v="Zola Khumalo"/>
    <x v="3"/>
    <x v="0"/>
    <n v="4"/>
    <n v="450"/>
    <n v="1800"/>
    <x v="0"/>
    <x v="12"/>
  </r>
  <r>
    <n v="1056"/>
    <x v="55"/>
    <s v="Thandi Mathebe"/>
    <x v="5"/>
    <x v="0"/>
    <n v="2"/>
    <n v="3500"/>
    <n v="7000"/>
    <x v="3"/>
    <x v="3"/>
  </r>
  <r>
    <n v="1057"/>
    <x v="56"/>
    <s v="Patric Maseko"/>
    <x v="6"/>
    <x v="0"/>
    <n v="1"/>
    <n v="4200"/>
    <n v="4200"/>
    <x v="2"/>
    <x v="1"/>
  </r>
  <r>
    <n v="1058"/>
    <x v="57"/>
    <s v="Nomsa Tladi"/>
    <x v="0"/>
    <x v="0"/>
    <n v="3"/>
    <n v="12000"/>
    <n v="36000"/>
    <x v="7"/>
    <x v="9"/>
  </r>
  <r>
    <n v="1059"/>
    <x v="58"/>
    <s v="Sibusiso Zulu"/>
    <x v="1"/>
    <x v="0"/>
    <n v="8"/>
    <n v="250"/>
    <n v="2000"/>
    <x v="0"/>
    <x v="12"/>
  </r>
  <r>
    <n v="1060"/>
    <x v="59"/>
    <s v="Lesego Maphosa"/>
    <x v="4"/>
    <x v="1"/>
    <n v="1"/>
    <n v="2800"/>
    <n v="2800"/>
    <x v="6"/>
    <x v="8"/>
  </r>
  <r>
    <n v="1061"/>
    <x v="60"/>
    <s v="Andiswa Mphahlele"/>
    <x v="2"/>
    <x v="1"/>
    <n v="2"/>
    <n v="3500"/>
    <n v="7000"/>
    <x v="4"/>
    <x v="4"/>
  </r>
  <r>
    <n v="1062"/>
    <x v="61"/>
    <s v="Vuyani Sithole"/>
    <x v="3"/>
    <x v="0"/>
    <n v="5"/>
    <n v="450"/>
    <n v="2250"/>
    <x v="0"/>
    <x v="12"/>
  </r>
  <r>
    <n v="1063"/>
    <x v="62"/>
    <s v="Bongi Phaahla"/>
    <x v="5"/>
    <x v="0"/>
    <n v="3"/>
    <n v="3500"/>
    <n v="10500"/>
    <x v="1"/>
    <x v="10"/>
  </r>
  <r>
    <n v="1064"/>
    <x v="63"/>
    <s v="Gift Mabena"/>
    <x v="6"/>
    <x v="0"/>
    <n v="2"/>
    <n v="4200"/>
    <n v="8400"/>
    <x v="3"/>
    <x v="3"/>
  </r>
  <r>
    <n v="1065"/>
    <x v="64"/>
    <s v="Themba Molefe"/>
    <x v="0"/>
    <x v="0"/>
    <n v="1"/>
    <n v="12000"/>
    <n v="12000"/>
    <x v="2"/>
    <x v="1"/>
  </r>
  <r>
    <n v="1066"/>
    <x v="65"/>
    <s v="Ayanda Zondo"/>
    <x v="1"/>
    <x v="0"/>
    <n v="10"/>
    <n v="250"/>
    <n v="2500"/>
    <x v="0"/>
    <x v="0"/>
  </r>
  <r>
    <n v="1067"/>
    <x v="66"/>
    <s v="John Smith"/>
    <x v="4"/>
    <x v="1"/>
    <n v="2"/>
    <n v="2800"/>
    <n v="5600"/>
    <x v="5"/>
    <x v="5"/>
  </r>
  <r>
    <n v="1068"/>
    <x v="67"/>
    <s v="Benny Kgaphola"/>
    <x v="2"/>
    <x v="1"/>
    <n v="1"/>
    <n v="3500"/>
    <n v="3500"/>
    <x v="7"/>
    <x v="9"/>
  </r>
  <r>
    <n v="1069"/>
    <x v="68"/>
    <s v="Kate Rapolai"/>
    <x v="3"/>
    <x v="0"/>
    <n v="6"/>
    <n v="450"/>
    <n v="2700"/>
    <x v="0"/>
    <x v="12"/>
  </r>
  <r>
    <n v="1070"/>
    <x v="69"/>
    <s v="James Khosa"/>
    <x v="5"/>
    <x v="0"/>
    <n v="2"/>
    <n v="3500"/>
    <n v="7000"/>
    <x v="8"/>
    <x v="13"/>
  </r>
  <r>
    <n v="1071"/>
    <x v="70"/>
    <s v="Karabo Dlamini"/>
    <x v="6"/>
    <x v="0"/>
    <n v="1"/>
    <n v="4200"/>
    <n v="4200"/>
    <x v="0"/>
    <x v="4"/>
  </r>
  <r>
    <n v="1072"/>
    <x v="71"/>
    <s v="Derick Jones"/>
    <x v="0"/>
    <x v="0"/>
    <n v="2"/>
    <n v="12000"/>
    <n v="24000"/>
    <x v="4"/>
    <x v="7"/>
  </r>
  <r>
    <n v="1073"/>
    <x v="72"/>
    <s v="Dennis Kekana"/>
    <x v="1"/>
    <x v="0"/>
    <n v="9"/>
    <n v="250"/>
    <n v="2250"/>
    <x v="1"/>
    <x v="10"/>
  </r>
  <r>
    <n v="1074"/>
    <x v="73"/>
    <s v="Tshepo Mogale"/>
    <x v="4"/>
    <x v="1"/>
    <n v="2"/>
    <n v="2800"/>
    <n v="5600"/>
    <x v="3"/>
    <x v="14"/>
  </r>
  <r>
    <n v="1075"/>
    <x v="74"/>
    <s v="Nompumelelo Nkosi"/>
    <x v="2"/>
    <x v="1"/>
    <n v="3"/>
    <n v="3500"/>
    <n v="10500"/>
    <x v="0"/>
    <x v="12"/>
  </r>
  <r>
    <n v="1076"/>
    <x v="75"/>
    <s v="Brain Mahlangu"/>
    <x v="0"/>
    <x v="0"/>
    <n v="1"/>
    <n v="12000"/>
    <n v="12000"/>
    <x v="0"/>
    <x v="0"/>
  </r>
  <r>
    <n v="1077"/>
    <x v="76"/>
    <s v="Zanele Mthembu"/>
    <x v="1"/>
    <x v="0"/>
    <n v="8"/>
    <n v="250"/>
    <n v="2000"/>
    <x v="1"/>
    <x v="10"/>
  </r>
  <r>
    <n v="1078"/>
    <x v="77"/>
    <s v="Naledi Aphane"/>
    <x v="2"/>
    <x v="1"/>
    <n v="2"/>
    <n v="3500"/>
    <n v="7000"/>
    <x v="4"/>
    <x v="7"/>
  </r>
  <r>
    <n v="1079"/>
    <x v="78"/>
    <s v="Patric Maseko"/>
    <x v="4"/>
    <x v="1"/>
    <n v="1"/>
    <n v="2800"/>
    <n v="2800"/>
    <x v="5"/>
    <x v="6"/>
  </r>
  <r>
    <n v="1080"/>
    <x v="79"/>
    <s v="Refiloe Khosa"/>
    <x v="3"/>
    <x v="0"/>
    <n v="5"/>
    <n v="450"/>
    <n v="2250"/>
    <x v="0"/>
    <x v="4"/>
  </r>
  <r>
    <n v="1081"/>
    <x v="80"/>
    <s v="Lerato Makena"/>
    <x v="5"/>
    <x v="0"/>
    <n v="2"/>
    <n v="3500"/>
    <n v="7000"/>
    <x v="3"/>
    <x v="14"/>
  </r>
  <r>
    <n v="1082"/>
    <x v="81"/>
    <s v="Zanele Mthembu"/>
    <x v="6"/>
    <x v="0"/>
    <n v="1"/>
    <n v="4200"/>
    <n v="4200"/>
    <x v="2"/>
    <x v="2"/>
  </r>
  <r>
    <n v="1083"/>
    <x v="82"/>
    <s v="Alfread Mabena"/>
    <x v="0"/>
    <x v="0"/>
    <n v="3"/>
    <n v="12000"/>
    <n v="36000"/>
    <x v="7"/>
    <x v="15"/>
  </r>
  <r>
    <n v="1084"/>
    <x v="83"/>
    <s v="Boitumelo Mokoena"/>
    <x v="1"/>
    <x v="0"/>
    <n v="10"/>
    <n v="250"/>
    <n v="2500"/>
    <x v="0"/>
    <x v="12"/>
  </r>
  <r>
    <n v="1085"/>
    <x v="84"/>
    <s v="Refiloe Matlala"/>
    <x v="4"/>
    <x v="1"/>
    <n v="2"/>
    <n v="2800"/>
    <n v="5600"/>
    <x v="6"/>
    <x v="16"/>
  </r>
  <r>
    <n v="1086"/>
    <x v="85"/>
    <s v="Mpho Tladi"/>
    <x v="2"/>
    <x v="1"/>
    <n v="1"/>
    <n v="3500"/>
    <n v="3500"/>
    <x v="4"/>
    <x v="7"/>
  </r>
  <r>
    <n v="1087"/>
    <x v="86"/>
    <s v="Andile Mohlala"/>
    <x v="3"/>
    <x v="0"/>
    <n v="6"/>
    <n v="450"/>
    <n v="2700"/>
    <x v="0"/>
    <x v="12"/>
  </r>
  <r>
    <n v="1088"/>
    <x v="87"/>
    <s v="Faith Ndlovu"/>
    <x v="5"/>
    <x v="0"/>
    <n v="3"/>
    <n v="3500"/>
    <n v="10500"/>
    <x v="1"/>
    <x v="17"/>
  </r>
  <r>
    <n v="1089"/>
    <x v="88"/>
    <s v="Amahle Ngubeni"/>
    <x v="6"/>
    <x v="0"/>
    <n v="2"/>
    <n v="4200"/>
    <n v="8400"/>
    <x v="3"/>
    <x v="14"/>
  </r>
  <r>
    <n v="1090"/>
    <x v="89"/>
    <s v="Ivy Nkosi"/>
    <x v="0"/>
    <x v="0"/>
    <n v="2"/>
    <n v="12000"/>
    <n v="24000"/>
    <x v="2"/>
    <x v="2"/>
  </r>
  <r>
    <n v="1091"/>
    <x v="90"/>
    <s v="Ben Masango"/>
    <x v="1"/>
    <x v="0"/>
    <n v="9"/>
    <n v="250"/>
    <n v="2250"/>
    <x v="0"/>
    <x v="0"/>
  </r>
  <r>
    <n v="1092"/>
    <x v="91"/>
    <s v="Mike Peterson"/>
    <x v="4"/>
    <x v="1"/>
    <n v="1"/>
    <n v="2800"/>
    <n v="2800"/>
    <x v="5"/>
    <x v="5"/>
  </r>
  <r>
    <n v="1093"/>
    <x v="92"/>
    <s v="Julia Mohlala"/>
    <x v="2"/>
    <x v="1"/>
    <n v="2"/>
    <n v="3500"/>
    <n v="7000"/>
    <x v="7"/>
    <x v="9"/>
  </r>
  <r>
    <n v="1094"/>
    <x v="93"/>
    <s v="Patric Maseko"/>
    <x v="3"/>
    <x v="0"/>
    <n v="4"/>
    <n v="450"/>
    <n v="1800"/>
    <x v="0"/>
    <x v="0"/>
  </r>
  <r>
    <n v="1095"/>
    <x v="94"/>
    <s v="Keneiloe Maila"/>
    <x v="5"/>
    <x v="0"/>
    <n v="2"/>
    <n v="3500"/>
    <n v="7000"/>
    <x v="8"/>
    <x v="13"/>
  </r>
  <r>
    <n v="1096"/>
    <x v="95"/>
    <s v="Jacob Mphela"/>
    <x v="6"/>
    <x v="0"/>
    <n v="1"/>
    <n v="4200"/>
    <n v="4200"/>
    <x v="0"/>
    <x v="4"/>
  </r>
  <r>
    <n v="1097"/>
    <x v="96"/>
    <s v="Ayanda Ncube"/>
    <x v="0"/>
    <x v="0"/>
    <n v="3"/>
    <n v="12000"/>
    <n v="36000"/>
    <x v="4"/>
    <x v="7"/>
  </r>
  <r>
    <n v="1098"/>
    <x v="97"/>
    <s v="Justice Mkhize"/>
    <x v="1"/>
    <x v="0"/>
    <n v="7"/>
    <n v="250"/>
    <n v="1750"/>
    <x v="1"/>
    <x v="18"/>
  </r>
  <r>
    <n v="1099"/>
    <x v="98"/>
    <s v="Derick Jones"/>
    <x v="4"/>
    <x v="1"/>
    <n v="2"/>
    <n v="2800"/>
    <n v="5600"/>
    <x v="3"/>
    <x v="19"/>
  </r>
  <r>
    <n v="1100"/>
    <x v="99"/>
    <s v="Mary Smith"/>
    <x v="2"/>
    <x v="1"/>
    <n v="3"/>
    <n v="3500"/>
    <n v="1050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3B757C-6C1A-4308-8BB8-158762450C5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1" firstHeaderRow="1" firstDataRow="1" firstDataCol="1"/>
  <pivotFields count="12">
    <pivotField showAll="0"/>
    <pivotField showAll="0">
      <items count="1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m="1" x="100"/>
        <item m="1" x="108"/>
        <item m="1" x="116"/>
        <item m="1" x="124"/>
        <item m="1" x="101"/>
        <item m="1" x="109"/>
        <item m="1" x="117"/>
        <item m="1" x="125"/>
        <item m="1" x="102"/>
        <item m="1" x="110"/>
        <item m="1" x="118"/>
        <item m="1" x="126"/>
        <item m="1" x="103"/>
        <item m="1" x="111"/>
        <item m="1" x="119"/>
        <item m="1" x="127"/>
        <item m="1" x="104"/>
        <item m="1" x="112"/>
        <item m="1" x="120"/>
        <item m="1" x="128"/>
        <item m="1" x="105"/>
        <item m="1" x="113"/>
        <item m="1" x="121"/>
        <item m="1" x="129"/>
        <item m="1" x="106"/>
        <item m="1" x="114"/>
        <item m="1" x="122"/>
        <item m="1" x="107"/>
        <item m="1" x="115"/>
        <item m="1" x="123"/>
        <item t="default"/>
      </items>
    </pivotField>
    <pivotField showAll="0"/>
    <pivotField axis="axisRow" showAll="0" sortType="descending">
      <items count="8">
        <item x="4"/>
        <item x="3"/>
        <item x="0"/>
        <item x="5"/>
        <item x="1"/>
        <item x="2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8">
    <i>
      <x v="2"/>
    </i>
    <i>
      <x v="5"/>
    </i>
    <i>
      <x v="3"/>
    </i>
    <i>
      <x/>
    </i>
    <i>
      <x v="6"/>
    </i>
    <i>
      <x v="4"/>
    </i>
    <i>
      <x v="1"/>
    </i>
    <i t="grand">
      <x/>
    </i>
  </rowItems>
  <colItems count="1">
    <i/>
  </colItems>
  <dataFields count="1">
    <dataField name="Sum of Total Sales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8DBB4C-F7D1-4BE2-A65B-CA7FC317CCA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3" firstHeaderRow="1" firstDataRow="1" firstDataCol="1"/>
  <pivotFields count="12">
    <pivotField showAll="0"/>
    <pivotField showAll="0">
      <items count="1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m="1" x="100"/>
        <item m="1" x="108"/>
        <item m="1" x="116"/>
        <item m="1" x="124"/>
        <item m="1" x="101"/>
        <item m="1" x="109"/>
        <item m="1" x="117"/>
        <item m="1" x="125"/>
        <item m="1" x="102"/>
        <item m="1" x="110"/>
        <item m="1" x="118"/>
        <item m="1" x="126"/>
        <item m="1" x="103"/>
        <item m="1" x="111"/>
        <item m="1" x="119"/>
        <item m="1" x="127"/>
        <item m="1" x="104"/>
        <item m="1" x="112"/>
        <item m="1" x="120"/>
        <item m="1" x="128"/>
        <item m="1" x="105"/>
        <item m="1" x="113"/>
        <item m="1" x="121"/>
        <item m="1" x="129"/>
        <item m="1" x="106"/>
        <item m="1" x="114"/>
        <item m="1" x="122"/>
        <item m="1" x="107"/>
        <item m="1" x="115"/>
        <item m="1" x="123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10">
        <item x="7"/>
        <item x="3"/>
        <item x="0"/>
        <item x="2"/>
        <item x="4"/>
        <item x="5"/>
        <item x="6"/>
        <item x="8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10">
    <i>
      <x v="2"/>
    </i>
    <i>
      <x v="4"/>
    </i>
    <i>
      <x/>
    </i>
    <i>
      <x v="8"/>
    </i>
    <i>
      <x v="3"/>
    </i>
    <i>
      <x v="1"/>
    </i>
    <i>
      <x v="5"/>
    </i>
    <i>
      <x v="7"/>
    </i>
    <i>
      <x v="6"/>
    </i>
    <i t="grand">
      <x/>
    </i>
  </rowItems>
  <colItems count="1">
    <i/>
  </colItems>
  <dataFields count="1">
    <dataField name="Sum of Total Sales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775627-B19A-4A40-B4CC-1C6E2BC8BDE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24" firstHeaderRow="1" firstDataRow="1" firstDataCol="1"/>
  <pivotFields count="12">
    <pivotField showAll="0"/>
    <pivotField showAll="0">
      <items count="1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m="1" x="100"/>
        <item m="1" x="108"/>
        <item m="1" x="116"/>
        <item m="1" x="124"/>
        <item m="1" x="101"/>
        <item m="1" x="109"/>
        <item m="1" x="117"/>
        <item m="1" x="125"/>
        <item m="1" x="102"/>
        <item m="1" x="110"/>
        <item m="1" x="118"/>
        <item m="1" x="126"/>
        <item m="1" x="103"/>
        <item m="1" x="111"/>
        <item m="1" x="119"/>
        <item m="1" x="127"/>
        <item m="1" x="104"/>
        <item m="1" x="112"/>
        <item m="1" x="120"/>
        <item m="1" x="128"/>
        <item m="1" x="105"/>
        <item m="1" x="113"/>
        <item m="1" x="121"/>
        <item m="1" x="129"/>
        <item m="1" x="106"/>
        <item m="1" x="114"/>
        <item m="1" x="122"/>
        <item m="1" x="107"/>
        <item m="1" x="115"/>
        <item m="1" x="12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axis="axisRow" showAll="0" sortType="descending">
      <items count="21">
        <item x="6"/>
        <item x="4"/>
        <item x="12"/>
        <item x="13"/>
        <item x="10"/>
        <item x="19"/>
        <item x="1"/>
        <item x="9"/>
        <item x="3"/>
        <item x="17"/>
        <item x="18"/>
        <item x="2"/>
        <item x="5"/>
        <item x="14"/>
        <item x="16"/>
        <item x="11"/>
        <item x="7"/>
        <item x="15"/>
        <item x="0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21">
    <i>
      <x v="18"/>
    </i>
    <i>
      <x v="16"/>
    </i>
    <i>
      <x v="7"/>
    </i>
    <i>
      <x v="1"/>
    </i>
    <i>
      <x v="11"/>
    </i>
    <i>
      <x v="6"/>
    </i>
    <i>
      <x v="12"/>
    </i>
    <i>
      <x v="8"/>
    </i>
    <i>
      <x v="17"/>
    </i>
    <i>
      <x v="4"/>
    </i>
    <i>
      <x v="2"/>
    </i>
    <i>
      <x v="13"/>
    </i>
    <i>
      <x/>
    </i>
    <i>
      <x v="3"/>
    </i>
    <i>
      <x v="19"/>
    </i>
    <i>
      <x v="15"/>
    </i>
    <i>
      <x v="9"/>
    </i>
    <i>
      <x v="14"/>
    </i>
    <i>
      <x v="5"/>
    </i>
    <i>
      <x v="10"/>
    </i>
    <i t="grand">
      <x/>
    </i>
  </rowItems>
  <colItems count="1">
    <i/>
  </colItems>
  <dataFields count="1">
    <dataField name="Sum of Total Sales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58A1CA-746D-4775-9DF7-C7C956D6ECD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12">
    <pivotField showAll="0"/>
    <pivotField showAll="0">
      <items count="1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m="1" x="100"/>
        <item m="1" x="108"/>
        <item m="1" x="116"/>
        <item m="1" x="124"/>
        <item m="1" x="101"/>
        <item m="1" x="109"/>
        <item m="1" x="117"/>
        <item m="1" x="125"/>
        <item m="1" x="102"/>
        <item m="1" x="110"/>
        <item m="1" x="118"/>
        <item m="1" x="126"/>
        <item m="1" x="103"/>
        <item m="1" x="111"/>
        <item m="1" x="119"/>
        <item m="1" x="127"/>
        <item m="1" x="104"/>
        <item m="1" x="112"/>
        <item m="1" x="120"/>
        <item m="1" x="128"/>
        <item m="1" x="105"/>
        <item m="1" x="113"/>
        <item m="1" x="121"/>
        <item m="1" x="129"/>
        <item m="1" x="106"/>
        <item m="1" x="114"/>
        <item m="1" x="122"/>
        <item m="1" x="107"/>
        <item m="1" x="115"/>
        <item m="1" x="123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Total Sales" fld="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0A8926-B368-4FF2-98DF-25E00DC680E4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2">
    <pivotField dataField="1" showAll="0"/>
    <pivotField numFmtId="14" showAll="0">
      <items count="1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m="1" x="100"/>
        <item m="1" x="108"/>
        <item m="1" x="116"/>
        <item m="1" x="124"/>
        <item m="1" x="101"/>
        <item m="1" x="109"/>
        <item m="1" x="117"/>
        <item m="1" x="125"/>
        <item m="1" x="102"/>
        <item m="1" x="110"/>
        <item m="1" x="118"/>
        <item m="1" x="126"/>
        <item m="1" x="103"/>
        <item m="1" x="111"/>
        <item m="1" x="119"/>
        <item m="1" x="127"/>
        <item m="1" x="104"/>
        <item m="1" x="112"/>
        <item m="1" x="120"/>
        <item m="1" x="128"/>
        <item m="1" x="105"/>
        <item m="1" x="113"/>
        <item m="1" x="121"/>
        <item m="1" x="129"/>
        <item m="1" x="106"/>
        <item m="1" x="114"/>
        <item m="1" x="122"/>
        <item m="1" x="107"/>
        <item m="1" x="115"/>
        <item m="1" x="1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1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Order ID" fld="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27E892-0B1E-48EA-9B87-8638F80995F7}" name="Table1" displayName="Table1" ref="A1:J101" totalsRowShown="0" headerRowDxfId="1">
  <autoFilter ref="A1:J101" xr:uid="{3427E892-0B1E-48EA-9B87-8638F80995F7}"/>
  <tableColumns count="10">
    <tableColumn id="1" xr3:uid="{860BD1F2-BC00-46E5-9F48-542BE350C5EC}" name="Order ID"/>
    <tableColumn id="2" xr3:uid="{0A7A6825-8C1B-4A9A-AC09-EEC01AC28320}" name="Order Date" dataDxfId="0"/>
    <tableColumn id="3" xr3:uid="{9AD110C9-7104-4B61-B741-0F8846439D59}" name="Customer"/>
    <tableColumn id="4" xr3:uid="{437719B4-4E9A-4F9F-A691-CC0272FD0670}" name="Product"/>
    <tableColumn id="5" xr3:uid="{A7DF3E76-456D-498F-BBD3-51D66915C486}" name="Category"/>
    <tableColumn id="6" xr3:uid="{147B53BA-30DA-4B8C-A764-0834EBF423E2}" name="Quantity"/>
    <tableColumn id="7" xr3:uid="{5B0829E5-86DC-4C67-8B30-D4746460EA78}" name="Unit Price"/>
    <tableColumn id="8" xr3:uid="{88610403-6D0A-4C16-A214-A80DA0248E3F}" name="Total Sales">
      <calculatedColumnFormula>F2*G2</calculatedColumnFormula>
    </tableColumn>
    <tableColumn id="9" xr3:uid="{F8F82D57-A778-4756-B629-7A4AD84EC67A}" name="Region"/>
    <tableColumn id="10" xr3:uid="{280238A7-3F2A-4199-A0DC-344FEB99079F}" name="Salesper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7BD5F-E1C8-4529-8D85-450968EEC749}">
  <dimension ref="A1:H1"/>
  <sheetViews>
    <sheetView topLeftCell="A12" workbookViewId="0">
      <selection activeCell="N12" sqref="N12"/>
    </sheetView>
  </sheetViews>
  <sheetFormatPr defaultRowHeight="14.4" x14ac:dyDescent="0.3"/>
  <cols>
    <col min="1" max="1" width="36.5546875" bestFit="1" customWidth="1"/>
  </cols>
  <sheetData>
    <row r="1" spans="1:8" ht="28.8" x14ac:dyDescent="0.55000000000000004">
      <c r="A1" s="7" t="s">
        <v>165</v>
      </c>
      <c r="B1" s="7"/>
      <c r="C1" s="7"/>
      <c r="D1" s="7"/>
      <c r="E1" s="7"/>
      <c r="F1" s="7"/>
      <c r="G1" s="7"/>
      <c r="H1" s="7"/>
    </row>
  </sheetData>
  <mergeCells count="1"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9DD4E-49C8-4A09-8B07-FC0E266BF4A9}">
  <dimension ref="A3:B11"/>
  <sheetViews>
    <sheetView workbookViewId="0">
      <selection activeCell="N25" sqref="N25"/>
    </sheetView>
  </sheetViews>
  <sheetFormatPr defaultRowHeight="14.4" x14ac:dyDescent="0.3"/>
  <cols>
    <col min="1" max="1" width="12.44140625" bestFit="1" customWidth="1"/>
    <col min="2" max="2" width="16.109375" bestFit="1" customWidth="1"/>
  </cols>
  <sheetData>
    <row r="3" spans="1:2" x14ac:dyDescent="0.3">
      <c r="A3" s="5" t="s">
        <v>162</v>
      </c>
      <c r="B3" t="s">
        <v>164</v>
      </c>
    </row>
    <row r="4" spans="1:2" x14ac:dyDescent="0.3">
      <c r="A4" s="6" t="s">
        <v>15</v>
      </c>
      <c r="B4">
        <v>360000</v>
      </c>
    </row>
    <row r="5" spans="1:2" x14ac:dyDescent="0.3">
      <c r="A5" s="6" t="s">
        <v>17</v>
      </c>
      <c r="B5">
        <v>105000</v>
      </c>
    </row>
    <row r="6" spans="1:2" x14ac:dyDescent="0.3">
      <c r="A6" s="6" t="s">
        <v>56</v>
      </c>
      <c r="B6">
        <v>98000</v>
      </c>
    </row>
    <row r="7" spans="1:2" x14ac:dyDescent="0.3">
      <c r="A7" s="6" t="s">
        <v>19</v>
      </c>
      <c r="B7">
        <v>78400</v>
      </c>
    </row>
    <row r="8" spans="1:2" x14ac:dyDescent="0.3">
      <c r="A8" s="6" t="s">
        <v>57</v>
      </c>
      <c r="B8">
        <v>71400</v>
      </c>
    </row>
    <row r="9" spans="1:2" x14ac:dyDescent="0.3">
      <c r="A9" s="6" t="s">
        <v>16</v>
      </c>
      <c r="B9">
        <v>30250</v>
      </c>
    </row>
    <row r="10" spans="1:2" x14ac:dyDescent="0.3">
      <c r="A10" s="6" t="s">
        <v>18</v>
      </c>
      <c r="B10">
        <v>28350</v>
      </c>
    </row>
    <row r="11" spans="1:2" x14ac:dyDescent="0.3">
      <c r="A11" s="6" t="s">
        <v>163</v>
      </c>
      <c r="B11">
        <v>771400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6E3E2-C935-4284-BC57-D6D6FFD60082}">
  <dimension ref="A3:B13"/>
  <sheetViews>
    <sheetView workbookViewId="0">
      <selection activeCell="D27" sqref="D27"/>
    </sheetView>
  </sheetViews>
  <sheetFormatPr defaultRowHeight="14.4" x14ac:dyDescent="0.3"/>
  <cols>
    <col min="1" max="1" width="12.77734375" bestFit="1" customWidth="1"/>
    <col min="2" max="2" width="16.109375" bestFit="1" customWidth="1"/>
  </cols>
  <sheetData>
    <row r="3" spans="1:2" x14ac:dyDescent="0.3">
      <c r="A3" s="5" t="s">
        <v>162</v>
      </c>
      <c r="B3" t="s">
        <v>164</v>
      </c>
    </row>
    <row r="4" spans="1:2" x14ac:dyDescent="0.3">
      <c r="A4" s="6" t="s">
        <v>22</v>
      </c>
      <c r="B4">
        <v>193500</v>
      </c>
    </row>
    <row r="5" spans="1:2" x14ac:dyDescent="0.3">
      <c r="A5" s="6" t="s">
        <v>58</v>
      </c>
      <c r="B5">
        <v>126250</v>
      </c>
    </row>
    <row r="6" spans="1:2" x14ac:dyDescent="0.3">
      <c r="A6" s="6" t="s">
        <v>61</v>
      </c>
      <c r="B6">
        <v>125900</v>
      </c>
    </row>
    <row r="7" spans="1:2" x14ac:dyDescent="0.3">
      <c r="A7" s="6" t="s">
        <v>23</v>
      </c>
      <c r="B7">
        <v>82900</v>
      </c>
    </row>
    <row r="8" spans="1:2" x14ac:dyDescent="0.3">
      <c r="A8" s="6" t="s">
        <v>24</v>
      </c>
      <c r="B8">
        <v>80350</v>
      </c>
    </row>
    <row r="9" spans="1:2" x14ac:dyDescent="0.3">
      <c r="A9" s="6" t="s">
        <v>25</v>
      </c>
      <c r="B9">
        <v>72100</v>
      </c>
    </row>
    <row r="10" spans="1:2" x14ac:dyDescent="0.3">
      <c r="A10" s="6" t="s">
        <v>59</v>
      </c>
      <c r="B10">
        <v>46200</v>
      </c>
    </row>
    <row r="11" spans="1:2" x14ac:dyDescent="0.3">
      <c r="A11" s="6" t="s">
        <v>62</v>
      </c>
      <c r="B11">
        <v>23800</v>
      </c>
    </row>
    <row r="12" spans="1:2" x14ac:dyDescent="0.3">
      <c r="A12" s="6" t="s">
        <v>60</v>
      </c>
      <c r="B12">
        <v>20400</v>
      </c>
    </row>
    <row r="13" spans="1:2" x14ac:dyDescent="0.3">
      <c r="A13" s="6" t="s">
        <v>163</v>
      </c>
      <c r="B13">
        <v>771400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26E3C-8486-498D-B19D-C190BEB49E1E}">
  <dimension ref="A3:B24"/>
  <sheetViews>
    <sheetView workbookViewId="0">
      <selection activeCell="B13" sqref="B13"/>
    </sheetView>
  </sheetViews>
  <sheetFormatPr defaultRowHeight="14.4" x14ac:dyDescent="0.3"/>
  <cols>
    <col min="1" max="1" width="12.44140625" bestFit="1" customWidth="1"/>
    <col min="2" max="2" width="16.109375" bestFit="1" customWidth="1"/>
  </cols>
  <sheetData>
    <row r="3" spans="1:2" x14ac:dyDescent="0.3">
      <c r="A3" s="5" t="s">
        <v>162</v>
      </c>
      <c r="B3" t="s">
        <v>164</v>
      </c>
    </row>
    <row r="4" spans="1:2" x14ac:dyDescent="0.3">
      <c r="A4" s="6" t="s">
        <v>26</v>
      </c>
      <c r="B4">
        <v>145900</v>
      </c>
    </row>
    <row r="5" spans="1:2" x14ac:dyDescent="0.3">
      <c r="A5" s="6" t="s">
        <v>65</v>
      </c>
      <c r="B5">
        <v>89900</v>
      </c>
    </row>
    <row r="6" spans="1:2" x14ac:dyDescent="0.3">
      <c r="A6" s="6" t="s">
        <v>105</v>
      </c>
      <c r="B6">
        <v>70500</v>
      </c>
    </row>
    <row r="7" spans="1:2" x14ac:dyDescent="0.3">
      <c r="A7" s="6" t="s">
        <v>29</v>
      </c>
      <c r="B7">
        <v>65700</v>
      </c>
    </row>
    <row r="8" spans="1:2" x14ac:dyDescent="0.3">
      <c r="A8" s="6" t="s">
        <v>28</v>
      </c>
      <c r="B8">
        <v>65400</v>
      </c>
    </row>
    <row r="9" spans="1:2" x14ac:dyDescent="0.3">
      <c r="A9" s="6" t="s">
        <v>27</v>
      </c>
      <c r="B9">
        <v>58950</v>
      </c>
    </row>
    <row r="10" spans="1:2" x14ac:dyDescent="0.3">
      <c r="A10" s="6" t="s">
        <v>63</v>
      </c>
      <c r="B10">
        <v>46100</v>
      </c>
    </row>
    <row r="11" spans="1:2" x14ac:dyDescent="0.3">
      <c r="A11" s="6" t="s">
        <v>30</v>
      </c>
      <c r="B11">
        <v>42000</v>
      </c>
    </row>
    <row r="12" spans="1:2" x14ac:dyDescent="0.3">
      <c r="A12" s="6" t="s">
        <v>157</v>
      </c>
      <c r="B12">
        <v>36000</v>
      </c>
    </row>
    <row r="13" spans="1:2" x14ac:dyDescent="0.3">
      <c r="A13" s="6" t="s">
        <v>106</v>
      </c>
      <c r="B13">
        <v>30150</v>
      </c>
    </row>
    <row r="14" spans="1:2" x14ac:dyDescent="0.3">
      <c r="A14" s="6" t="s">
        <v>154</v>
      </c>
      <c r="B14">
        <v>24450</v>
      </c>
    </row>
    <row r="15" spans="1:2" x14ac:dyDescent="0.3">
      <c r="A15" s="6" t="s">
        <v>156</v>
      </c>
      <c r="B15">
        <v>21000</v>
      </c>
    </row>
    <row r="16" spans="1:2" x14ac:dyDescent="0.3">
      <c r="A16" s="6" t="s">
        <v>64</v>
      </c>
      <c r="B16">
        <v>14800</v>
      </c>
    </row>
    <row r="17" spans="1:2" x14ac:dyDescent="0.3">
      <c r="A17" s="6" t="s">
        <v>155</v>
      </c>
      <c r="B17">
        <v>14000</v>
      </c>
    </row>
    <row r="18" spans="1:2" x14ac:dyDescent="0.3">
      <c r="A18" s="6" t="s">
        <v>66</v>
      </c>
      <c r="B18">
        <v>12600</v>
      </c>
    </row>
    <row r="19" spans="1:2" x14ac:dyDescent="0.3">
      <c r="A19" s="6" t="s">
        <v>107</v>
      </c>
      <c r="B19">
        <v>10500</v>
      </c>
    </row>
    <row r="20" spans="1:2" x14ac:dyDescent="0.3">
      <c r="A20" s="6" t="s">
        <v>159</v>
      </c>
      <c r="B20">
        <v>10500</v>
      </c>
    </row>
    <row r="21" spans="1:2" x14ac:dyDescent="0.3">
      <c r="A21" s="6" t="s">
        <v>158</v>
      </c>
      <c r="B21">
        <v>5600</v>
      </c>
    </row>
    <row r="22" spans="1:2" x14ac:dyDescent="0.3">
      <c r="A22" s="6" t="s">
        <v>161</v>
      </c>
      <c r="B22">
        <v>5600</v>
      </c>
    </row>
    <row r="23" spans="1:2" x14ac:dyDescent="0.3">
      <c r="A23" s="6" t="s">
        <v>160</v>
      </c>
      <c r="B23">
        <v>1750</v>
      </c>
    </row>
    <row r="24" spans="1:2" x14ac:dyDescent="0.3">
      <c r="A24" s="6" t="s">
        <v>163</v>
      </c>
      <c r="B24">
        <v>771400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9A34B-CBCA-49F5-ACF5-89FF55EAAE87}">
  <dimension ref="A3:B6"/>
  <sheetViews>
    <sheetView workbookViewId="0">
      <selection activeCell="N26" sqref="N26"/>
    </sheetView>
  </sheetViews>
  <sheetFormatPr defaultRowHeight="14.4" x14ac:dyDescent="0.3"/>
  <cols>
    <col min="1" max="1" width="12.44140625" bestFit="1" customWidth="1"/>
    <col min="2" max="2" width="16.109375" bestFit="1" customWidth="1"/>
  </cols>
  <sheetData>
    <row r="3" spans="1:2" x14ac:dyDescent="0.3">
      <c r="A3" s="5" t="s">
        <v>162</v>
      </c>
      <c r="B3" t="s">
        <v>164</v>
      </c>
    </row>
    <row r="4" spans="1:2" x14ac:dyDescent="0.3">
      <c r="A4" s="6" t="s">
        <v>20</v>
      </c>
      <c r="B4">
        <v>588000</v>
      </c>
    </row>
    <row r="5" spans="1:2" x14ac:dyDescent="0.3">
      <c r="A5" s="6" t="s">
        <v>21</v>
      </c>
      <c r="B5">
        <v>183400</v>
      </c>
    </row>
    <row r="6" spans="1:2" x14ac:dyDescent="0.3">
      <c r="A6" s="6" t="s">
        <v>163</v>
      </c>
      <c r="B6">
        <v>771400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26C26-18CA-459E-8D61-39447705C648}">
  <dimension ref="A3:B8"/>
  <sheetViews>
    <sheetView workbookViewId="0">
      <selection activeCell="B6" sqref="B6"/>
    </sheetView>
  </sheetViews>
  <sheetFormatPr defaultRowHeight="14.4" x14ac:dyDescent="0.3"/>
  <cols>
    <col min="1" max="1" width="12.44140625" bestFit="1" customWidth="1"/>
    <col min="2" max="2" width="14" bestFit="1" customWidth="1"/>
  </cols>
  <sheetData>
    <row r="3" spans="1:2" x14ac:dyDescent="0.3">
      <c r="A3" s="5" t="s">
        <v>162</v>
      </c>
      <c r="B3" t="s">
        <v>167</v>
      </c>
    </row>
    <row r="4" spans="1:2" x14ac:dyDescent="0.3">
      <c r="A4" s="6" t="s">
        <v>197</v>
      </c>
      <c r="B4">
        <v>31496</v>
      </c>
    </row>
    <row r="5" spans="1:2" x14ac:dyDescent="0.3">
      <c r="A5" s="6" t="s">
        <v>198</v>
      </c>
      <c r="B5">
        <v>29274</v>
      </c>
    </row>
    <row r="6" spans="1:2" x14ac:dyDescent="0.3">
      <c r="A6" s="6" t="s">
        <v>199</v>
      </c>
      <c r="B6">
        <v>33325</v>
      </c>
    </row>
    <row r="7" spans="1:2" x14ac:dyDescent="0.3">
      <c r="A7" s="6" t="s">
        <v>200</v>
      </c>
      <c r="B7">
        <v>10955</v>
      </c>
    </row>
    <row r="8" spans="1:2" x14ac:dyDescent="0.3">
      <c r="A8" s="6" t="s">
        <v>163</v>
      </c>
      <c r="B8">
        <v>105050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803F0-F315-4B3F-9BA2-657261B1BFC5}">
  <dimension ref="A1:J103"/>
  <sheetViews>
    <sheetView tabSelected="1" workbookViewId="0">
      <selection activeCell="L1" sqref="L1"/>
    </sheetView>
  </sheetViews>
  <sheetFormatPr defaultRowHeight="14.4" x14ac:dyDescent="0.3"/>
  <cols>
    <col min="1" max="1" width="9.88671875" customWidth="1"/>
    <col min="2" max="2" width="12.109375" style="4" customWidth="1"/>
    <col min="3" max="3" width="15.44140625" bestFit="1" customWidth="1"/>
    <col min="4" max="4" width="9.6640625" bestFit="1" customWidth="1"/>
    <col min="5" max="5" width="10.5546875" customWidth="1"/>
    <col min="6" max="6" width="10" customWidth="1"/>
    <col min="7" max="7" width="11.109375" customWidth="1"/>
    <col min="8" max="8" width="12.21875" customWidth="1"/>
    <col min="9" max="9" width="11.6640625" bestFit="1" customWidth="1"/>
    <col min="10" max="10" width="13.44140625" customWidth="1"/>
  </cols>
  <sheetData>
    <row r="1" spans="1:10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1001</v>
      </c>
      <c r="B2" s="3">
        <v>46143</v>
      </c>
      <c r="C2" t="s">
        <v>10</v>
      </c>
      <c r="D2" t="s">
        <v>15</v>
      </c>
      <c r="E2" t="s">
        <v>20</v>
      </c>
      <c r="F2">
        <v>2</v>
      </c>
      <c r="G2">
        <v>12000</v>
      </c>
      <c r="H2">
        <f t="shared" ref="H2:H33" si="0">F2*G2</f>
        <v>24000</v>
      </c>
      <c r="I2" t="s">
        <v>22</v>
      </c>
      <c r="J2" t="s">
        <v>26</v>
      </c>
    </row>
    <row r="3" spans="1:10" x14ac:dyDescent="0.3">
      <c r="A3">
        <v>1002</v>
      </c>
      <c r="B3" s="3">
        <v>46266</v>
      </c>
      <c r="C3" t="s">
        <v>11</v>
      </c>
      <c r="D3" t="s">
        <v>16</v>
      </c>
      <c r="E3" t="s">
        <v>20</v>
      </c>
      <c r="F3">
        <v>5</v>
      </c>
      <c r="G3">
        <v>250</v>
      </c>
      <c r="H3">
        <f t="shared" si="0"/>
        <v>1250</v>
      </c>
      <c r="I3" t="s">
        <v>23</v>
      </c>
      <c r="J3" t="s">
        <v>27</v>
      </c>
    </row>
    <row r="4" spans="1:10" x14ac:dyDescent="0.3">
      <c r="A4">
        <v>1003</v>
      </c>
      <c r="B4" s="3" t="s">
        <v>31</v>
      </c>
      <c r="C4" t="s">
        <v>12</v>
      </c>
      <c r="D4" t="s">
        <v>17</v>
      </c>
      <c r="E4" t="s">
        <v>21</v>
      </c>
      <c r="F4">
        <v>1</v>
      </c>
      <c r="G4">
        <v>3500</v>
      </c>
      <c r="H4">
        <f t="shared" si="0"/>
        <v>3500</v>
      </c>
      <c r="I4" t="s">
        <v>24</v>
      </c>
      <c r="J4" t="s">
        <v>28</v>
      </c>
    </row>
    <row r="5" spans="1:10" x14ac:dyDescent="0.3">
      <c r="A5">
        <v>1004</v>
      </c>
      <c r="B5" s="3" t="s">
        <v>32</v>
      </c>
      <c r="C5" t="s">
        <v>13</v>
      </c>
      <c r="D5" t="s">
        <v>18</v>
      </c>
      <c r="E5" t="s">
        <v>20</v>
      </c>
      <c r="F5">
        <v>3</v>
      </c>
      <c r="G5">
        <v>450</v>
      </c>
      <c r="H5">
        <f t="shared" si="0"/>
        <v>1350</v>
      </c>
      <c r="I5" t="s">
        <v>22</v>
      </c>
      <c r="J5" t="s">
        <v>26</v>
      </c>
    </row>
    <row r="6" spans="1:10" x14ac:dyDescent="0.3">
      <c r="A6">
        <v>1005</v>
      </c>
      <c r="B6" s="3" t="s">
        <v>33</v>
      </c>
      <c r="C6" t="s">
        <v>14</v>
      </c>
      <c r="D6" t="s">
        <v>19</v>
      </c>
      <c r="E6" t="s">
        <v>21</v>
      </c>
      <c r="F6">
        <v>2</v>
      </c>
      <c r="G6">
        <v>2800</v>
      </c>
      <c r="H6">
        <f t="shared" si="0"/>
        <v>5600</v>
      </c>
      <c r="I6" t="s">
        <v>25</v>
      </c>
      <c r="J6" t="s">
        <v>30</v>
      </c>
    </row>
    <row r="7" spans="1:10" x14ac:dyDescent="0.3">
      <c r="A7">
        <v>1006</v>
      </c>
      <c r="B7" s="3" t="s">
        <v>34</v>
      </c>
      <c r="C7" t="s">
        <v>36</v>
      </c>
      <c r="D7" t="s">
        <v>56</v>
      </c>
      <c r="E7" t="s">
        <v>20</v>
      </c>
      <c r="F7">
        <v>1</v>
      </c>
      <c r="G7">
        <v>3500</v>
      </c>
      <c r="H7">
        <f t="shared" si="0"/>
        <v>3500</v>
      </c>
      <c r="I7" t="s">
        <v>22</v>
      </c>
      <c r="J7" t="s">
        <v>26</v>
      </c>
    </row>
    <row r="8" spans="1:10" x14ac:dyDescent="0.3">
      <c r="A8">
        <v>1007</v>
      </c>
      <c r="B8" s="3" t="s">
        <v>168</v>
      </c>
      <c r="C8" t="s">
        <v>37</v>
      </c>
      <c r="D8" t="s">
        <v>57</v>
      </c>
      <c r="E8" t="s">
        <v>20</v>
      </c>
      <c r="F8">
        <v>2</v>
      </c>
      <c r="G8">
        <v>4200</v>
      </c>
      <c r="H8">
        <f t="shared" si="0"/>
        <v>8400</v>
      </c>
      <c r="I8" t="s">
        <v>58</v>
      </c>
      <c r="J8" t="s">
        <v>29</v>
      </c>
    </row>
    <row r="9" spans="1:10" x14ac:dyDescent="0.3">
      <c r="A9">
        <v>1008</v>
      </c>
      <c r="B9" s="3" t="s">
        <v>68</v>
      </c>
      <c r="C9" t="s">
        <v>38</v>
      </c>
      <c r="D9" t="s">
        <v>19</v>
      </c>
      <c r="E9" t="s">
        <v>21</v>
      </c>
      <c r="F9">
        <v>3</v>
      </c>
      <c r="G9">
        <v>2800</v>
      </c>
      <c r="H9">
        <f t="shared" si="0"/>
        <v>8400</v>
      </c>
      <c r="I9" t="s">
        <v>59</v>
      </c>
      <c r="J9" t="s">
        <v>63</v>
      </c>
    </row>
    <row r="10" spans="1:10" x14ac:dyDescent="0.3">
      <c r="A10">
        <v>1009</v>
      </c>
      <c r="B10" s="3" t="s">
        <v>69</v>
      </c>
      <c r="C10" t="s">
        <v>39</v>
      </c>
      <c r="D10" t="s">
        <v>17</v>
      </c>
      <c r="E10" t="s">
        <v>21</v>
      </c>
      <c r="F10">
        <v>2</v>
      </c>
      <c r="G10">
        <v>3500</v>
      </c>
      <c r="H10">
        <f t="shared" si="0"/>
        <v>7000</v>
      </c>
      <c r="I10" t="s">
        <v>25</v>
      </c>
      <c r="J10" t="s">
        <v>30</v>
      </c>
    </row>
    <row r="11" spans="1:10" x14ac:dyDescent="0.3">
      <c r="A11">
        <v>1010</v>
      </c>
      <c r="B11" s="3" t="s">
        <v>35</v>
      </c>
      <c r="C11" t="s">
        <v>40</v>
      </c>
      <c r="D11" t="s">
        <v>18</v>
      </c>
      <c r="E11" t="s">
        <v>20</v>
      </c>
      <c r="F11">
        <v>5</v>
      </c>
      <c r="G11">
        <v>450</v>
      </c>
      <c r="H11">
        <f t="shared" si="0"/>
        <v>2250</v>
      </c>
      <c r="I11" t="s">
        <v>22</v>
      </c>
      <c r="J11" t="s">
        <v>26</v>
      </c>
    </row>
    <row r="12" spans="1:10" x14ac:dyDescent="0.3">
      <c r="A12">
        <v>1011</v>
      </c>
      <c r="B12" s="3" t="s">
        <v>67</v>
      </c>
      <c r="C12" t="s">
        <v>41</v>
      </c>
      <c r="D12" t="s">
        <v>15</v>
      </c>
      <c r="E12" t="s">
        <v>20</v>
      </c>
      <c r="F12">
        <v>1</v>
      </c>
      <c r="G12">
        <v>12000</v>
      </c>
      <c r="H12">
        <f t="shared" si="0"/>
        <v>12000</v>
      </c>
      <c r="I12" t="s">
        <v>60</v>
      </c>
      <c r="J12" t="s">
        <v>64</v>
      </c>
    </row>
    <row r="13" spans="1:10" x14ac:dyDescent="0.3">
      <c r="A13">
        <v>1012</v>
      </c>
      <c r="B13" s="3" t="s">
        <v>69</v>
      </c>
      <c r="C13" t="s">
        <v>42</v>
      </c>
      <c r="D13" t="s">
        <v>16</v>
      </c>
      <c r="E13" t="s">
        <v>20</v>
      </c>
      <c r="F13">
        <v>8</v>
      </c>
      <c r="G13">
        <v>250</v>
      </c>
      <c r="H13">
        <f t="shared" si="0"/>
        <v>2000</v>
      </c>
      <c r="I13" t="s">
        <v>24</v>
      </c>
      <c r="J13" t="s">
        <v>28</v>
      </c>
    </row>
    <row r="14" spans="1:10" x14ac:dyDescent="0.3">
      <c r="A14">
        <v>1013</v>
      </c>
      <c r="B14" s="3" t="s">
        <v>70</v>
      </c>
      <c r="C14" t="s">
        <v>43</v>
      </c>
      <c r="D14" t="s">
        <v>19</v>
      </c>
      <c r="E14" t="s">
        <v>21</v>
      </c>
      <c r="F14">
        <v>2</v>
      </c>
      <c r="G14">
        <v>2800</v>
      </c>
      <c r="H14">
        <f t="shared" si="0"/>
        <v>5600</v>
      </c>
      <c r="I14" t="s">
        <v>61</v>
      </c>
      <c r="J14" t="s">
        <v>65</v>
      </c>
    </row>
    <row r="15" spans="1:10" x14ac:dyDescent="0.3">
      <c r="A15">
        <v>1014</v>
      </c>
      <c r="B15" s="3" t="s">
        <v>71</v>
      </c>
      <c r="C15" t="s">
        <v>44</v>
      </c>
      <c r="D15" t="s">
        <v>56</v>
      </c>
      <c r="E15" t="s">
        <v>20</v>
      </c>
      <c r="F15">
        <v>4</v>
      </c>
      <c r="G15">
        <v>3500</v>
      </c>
      <c r="H15">
        <f t="shared" si="0"/>
        <v>14000</v>
      </c>
      <c r="I15" t="s">
        <v>22</v>
      </c>
      <c r="J15" t="s">
        <v>26</v>
      </c>
    </row>
    <row r="16" spans="1:10" x14ac:dyDescent="0.3">
      <c r="A16">
        <v>1015</v>
      </c>
      <c r="B16" s="3" t="s">
        <v>72</v>
      </c>
      <c r="C16" t="s">
        <v>45</v>
      </c>
      <c r="D16" t="s">
        <v>57</v>
      </c>
      <c r="E16" t="s">
        <v>20</v>
      </c>
      <c r="F16">
        <v>2</v>
      </c>
      <c r="G16">
        <v>4200</v>
      </c>
      <c r="H16">
        <f t="shared" si="0"/>
        <v>8400</v>
      </c>
      <c r="I16" t="s">
        <v>58</v>
      </c>
      <c r="J16" t="s">
        <v>29</v>
      </c>
    </row>
    <row r="17" spans="1:10" x14ac:dyDescent="0.3">
      <c r="A17">
        <v>1016</v>
      </c>
      <c r="B17" s="3">
        <v>46055</v>
      </c>
      <c r="C17" t="s">
        <v>46</v>
      </c>
      <c r="D17" t="s">
        <v>15</v>
      </c>
      <c r="E17" t="s">
        <v>20</v>
      </c>
      <c r="F17">
        <v>3</v>
      </c>
      <c r="G17">
        <v>12000</v>
      </c>
      <c r="H17">
        <f t="shared" si="0"/>
        <v>36000</v>
      </c>
      <c r="I17" t="s">
        <v>23</v>
      </c>
      <c r="J17" t="s">
        <v>27</v>
      </c>
    </row>
    <row r="18" spans="1:10" x14ac:dyDescent="0.3">
      <c r="A18">
        <v>1017</v>
      </c>
      <c r="B18" s="3">
        <v>46114</v>
      </c>
      <c r="C18" t="s">
        <v>47</v>
      </c>
      <c r="D18" t="s">
        <v>18</v>
      </c>
      <c r="E18" t="s">
        <v>20</v>
      </c>
      <c r="F18">
        <v>6</v>
      </c>
      <c r="G18">
        <v>450</v>
      </c>
      <c r="H18">
        <f t="shared" si="0"/>
        <v>2700</v>
      </c>
      <c r="I18" t="s">
        <v>22</v>
      </c>
      <c r="J18" t="s">
        <v>26</v>
      </c>
    </row>
    <row r="19" spans="1:10" x14ac:dyDescent="0.3">
      <c r="A19">
        <v>1018</v>
      </c>
      <c r="B19" s="3">
        <v>46144</v>
      </c>
      <c r="C19" t="s">
        <v>48</v>
      </c>
      <c r="D19" t="s">
        <v>17</v>
      </c>
      <c r="E19" t="s">
        <v>21</v>
      </c>
      <c r="F19">
        <v>2</v>
      </c>
      <c r="G19">
        <v>3500</v>
      </c>
      <c r="H19">
        <f t="shared" si="0"/>
        <v>7000</v>
      </c>
      <c r="I19" t="s">
        <v>59</v>
      </c>
      <c r="J19" t="s">
        <v>63</v>
      </c>
    </row>
    <row r="20" spans="1:10" x14ac:dyDescent="0.3">
      <c r="A20">
        <v>1019</v>
      </c>
      <c r="B20" s="3">
        <v>46055</v>
      </c>
      <c r="C20" t="s">
        <v>49</v>
      </c>
      <c r="D20" t="s">
        <v>16</v>
      </c>
      <c r="E20" t="s">
        <v>20</v>
      </c>
      <c r="F20">
        <v>10</v>
      </c>
      <c r="G20">
        <v>250</v>
      </c>
      <c r="H20">
        <f t="shared" si="0"/>
        <v>2500</v>
      </c>
      <c r="I20" t="s">
        <v>58</v>
      </c>
      <c r="J20" t="s">
        <v>29</v>
      </c>
    </row>
    <row r="21" spans="1:10" x14ac:dyDescent="0.3">
      <c r="A21">
        <v>1020</v>
      </c>
      <c r="B21" s="3">
        <v>46114</v>
      </c>
      <c r="C21" t="s">
        <v>50</v>
      </c>
      <c r="D21" t="s">
        <v>19</v>
      </c>
      <c r="E21" t="s">
        <v>21</v>
      </c>
      <c r="F21">
        <v>1</v>
      </c>
      <c r="G21">
        <v>2800</v>
      </c>
      <c r="H21">
        <f t="shared" si="0"/>
        <v>2800</v>
      </c>
      <c r="I21" t="s">
        <v>25</v>
      </c>
      <c r="J21" t="s">
        <v>30</v>
      </c>
    </row>
    <row r="22" spans="1:10" x14ac:dyDescent="0.3">
      <c r="A22">
        <v>1021</v>
      </c>
      <c r="B22" s="3">
        <v>46175</v>
      </c>
      <c r="C22" t="s">
        <v>51</v>
      </c>
      <c r="D22" t="s">
        <v>56</v>
      </c>
      <c r="E22" t="s">
        <v>20</v>
      </c>
      <c r="F22">
        <v>2</v>
      </c>
      <c r="G22">
        <v>3500</v>
      </c>
      <c r="H22">
        <f t="shared" si="0"/>
        <v>7000</v>
      </c>
      <c r="I22" t="s">
        <v>22</v>
      </c>
      <c r="J22" t="s">
        <v>26</v>
      </c>
    </row>
    <row r="23" spans="1:10" x14ac:dyDescent="0.3">
      <c r="A23">
        <v>1022</v>
      </c>
      <c r="B23" s="3">
        <v>46205</v>
      </c>
      <c r="C23" t="s">
        <v>52</v>
      </c>
      <c r="D23" t="s">
        <v>57</v>
      </c>
      <c r="E23" t="s">
        <v>20</v>
      </c>
      <c r="F23">
        <v>1</v>
      </c>
      <c r="G23">
        <v>4200</v>
      </c>
      <c r="H23">
        <f t="shared" si="0"/>
        <v>4200</v>
      </c>
      <c r="I23" t="s">
        <v>62</v>
      </c>
      <c r="J23" t="s">
        <v>66</v>
      </c>
    </row>
    <row r="24" spans="1:10" x14ac:dyDescent="0.3">
      <c r="A24">
        <v>1023</v>
      </c>
      <c r="B24" s="3">
        <v>46267</v>
      </c>
      <c r="C24" t="s">
        <v>53</v>
      </c>
      <c r="D24" t="s">
        <v>15</v>
      </c>
      <c r="E24" t="s">
        <v>20</v>
      </c>
      <c r="F24">
        <v>2</v>
      </c>
      <c r="G24">
        <v>12000</v>
      </c>
      <c r="H24">
        <f t="shared" si="0"/>
        <v>24000</v>
      </c>
      <c r="I24" t="s">
        <v>24</v>
      </c>
      <c r="J24" t="s">
        <v>28</v>
      </c>
    </row>
    <row r="25" spans="1:10" x14ac:dyDescent="0.3">
      <c r="A25">
        <v>1024</v>
      </c>
      <c r="B25" s="3">
        <v>46297</v>
      </c>
      <c r="C25" t="s">
        <v>54</v>
      </c>
      <c r="D25" t="s">
        <v>18</v>
      </c>
      <c r="E25" t="s">
        <v>20</v>
      </c>
      <c r="F25">
        <v>4</v>
      </c>
      <c r="G25">
        <v>450</v>
      </c>
      <c r="H25">
        <f t="shared" si="0"/>
        <v>1800</v>
      </c>
      <c r="I25" t="s">
        <v>61</v>
      </c>
      <c r="J25" t="s">
        <v>65</v>
      </c>
    </row>
    <row r="26" spans="1:10" x14ac:dyDescent="0.3">
      <c r="A26">
        <v>1025</v>
      </c>
      <c r="B26" s="3">
        <v>46328</v>
      </c>
      <c r="C26" t="s">
        <v>55</v>
      </c>
      <c r="D26" t="s">
        <v>17</v>
      </c>
      <c r="E26" t="s">
        <v>21</v>
      </c>
      <c r="F26">
        <v>1</v>
      </c>
      <c r="G26">
        <v>3500</v>
      </c>
      <c r="H26">
        <f t="shared" si="0"/>
        <v>3500</v>
      </c>
      <c r="I26" t="s">
        <v>22</v>
      </c>
      <c r="J26" t="s">
        <v>26</v>
      </c>
    </row>
    <row r="27" spans="1:10" x14ac:dyDescent="0.3">
      <c r="A27">
        <v>1026</v>
      </c>
      <c r="B27" s="3" t="s">
        <v>73</v>
      </c>
      <c r="C27" t="s">
        <v>79</v>
      </c>
      <c r="D27" t="s">
        <v>15</v>
      </c>
      <c r="E27" t="s">
        <v>20</v>
      </c>
      <c r="F27">
        <v>1</v>
      </c>
      <c r="G27">
        <v>12000</v>
      </c>
      <c r="H27">
        <f t="shared" si="0"/>
        <v>12000</v>
      </c>
      <c r="I27" t="s">
        <v>22</v>
      </c>
      <c r="J27" t="s">
        <v>26</v>
      </c>
    </row>
    <row r="28" spans="1:10" x14ac:dyDescent="0.3">
      <c r="A28">
        <v>1027</v>
      </c>
      <c r="B28" s="3" t="s">
        <v>74</v>
      </c>
      <c r="C28" t="s">
        <v>80</v>
      </c>
      <c r="D28" t="s">
        <v>16</v>
      </c>
      <c r="E28" t="s">
        <v>20</v>
      </c>
      <c r="F28">
        <v>6</v>
      </c>
      <c r="G28">
        <v>250</v>
      </c>
      <c r="H28">
        <f t="shared" si="0"/>
        <v>1500</v>
      </c>
      <c r="I28" t="s">
        <v>23</v>
      </c>
      <c r="J28" t="s">
        <v>27</v>
      </c>
    </row>
    <row r="29" spans="1:10" x14ac:dyDescent="0.3">
      <c r="A29">
        <v>1028</v>
      </c>
      <c r="B29" s="3" t="s">
        <v>75</v>
      </c>
      <c r="C29" t="s">
        <v>81</v>
      </c>
      <c r="D29" t="s">
        <v>17</v>
      </c>
      <c r="E29" t="s">
        <v>21</v>
      </c>
      <c r="F29">
        <v>2</v>
      </c>
      <c r="G29">
        <v>3500</v>
      </c>
      <c r="H29">
        <f t="shared" si="0"/>
        <v>7000</v>
      </c>
      <c r="I29" t="s">
        <v>58</v>
      </c>
      <c r="J29" t="s">
        <v>29</v>
      </c>
    </row>
    <row r="30" spans="1:10" x14ac:dyDescent="0.3">
      <c r="A30">
        <v>1029</v>
      </c>
      <c r="B30" s="3" t="s">
        <v>76</v>
      </c>
      <c r="C30" t="s">
        <v>82</v>
      </c>
      <c r="D30" t="s">
        <v>19</v>
      </c>
      <c r="E30" t="s">
        <v>21</v>
      </c>
      <c r="F30">
        <v>1</v>
      </c>
      <c r="G30">
        <v>2800</v>
      </c>
      <c r="H30">
        <f t="shared" si="0"/>
        <v>2800</v>
      </c>
      <c r="I30" t="s">
        <v>59</v>
      </c>
      <c r="J30" t="s">
        <v>63</v>
      </c>
    </row>
    <row r="31" spans="1:10" x14ac:dyDescent="0.3">
      <c r="A31">
        <v>1030</v>
      </c>
      <c r="B31" s="3" t="s">
        <v>77</v>
      </c>
      <c r="C31" t="s">
        <v>83</v>
      </c>
      <c r="D31" t="s">
        <v>18</v>
      </c>
      <c r="E31" t="s">
        <v>20</v>
      </c>
      <c r="F31">
        <v>4</v>
      </c>
      <c r="G31">
        <v>450</v>
      </c>
      <c r="H31">
        <f t="shared" si="0"/>
        <v>1800</v>
      </c>
      <c r="I31" t="s">
        <v>22</v>
      </c>
      <c r="J31" t="s">
        <v>26</v>
      </c>
    </row>
    <row r="32" spans="1:10" x14ac:dyDescent="0.3">
      <c r="A32">
        <v>1031</v>
      </c>
      <c r="B32" s="3" t="s">
        <v>78</v>
      </c>
      <c r="C32" t="s">
        <v>84</v>
      </c>
      <c r="D32" t="s">
        <v>56</v>
      </c>
      <c r="E32" t="s">
        <v>20</v>
      </c>
      <c r="F32">
        <v>2</v>
      </c>
      <c r="G32">
        <v>3500</v>
      </c>
      <c r="H32">
        <f t="shared" si="0"/>
        <v>7000</v>
      </c>
      <c r="I32" t="s">
        <v>25</v>
      </c>
      <c r="J32" t="s">
        <v>30</v>
      </c>
    </row>
    <row r="33" spans="1:10" x14ac:dyDescent="0.3">
      <c r="A33">
        <v>1032</v>
      </c>
      <c r="B33" s="3" t="s">
        <v>108</v>
      </c>
      <c r="C33" t="s">
        <v>85</v>
      </c>
      <c r="D33" t="s">
        <v>57</v>
      </c>
      <c r="E33" t="s">
        <v>20</v>
      </c>
      <c r="F33">
        <v>1</v>
      </c>
      <c r="G33">
        <v>4200</v>
      </c>
      <c r="H33">
        <f t="shared" si="0"/>
        <v>4200</v>
      </c>
      <c r="I33" t="s">
        <v>24</v>
      </c>
      <c r="J33" t="s">
        <v>28</v>
      </c>
    </row>
    <row r="34" spans="1:10" x14ac:dyDescent="0.3">
      <c r="A34">
        <v>1033</v>
      </c>
      <c r="B34" s="3" t="s">
        <v>109</v>
      </c>
      <c r="C34" t="s">
        <v>86</v>
      </c>
      <c r="D34" t="s">
        <v>15</v>
      </c>
      <c r="E34" t="s">
        <v>20</v>
      </c>
      <c r="F34">
        <v>2</v>
      </c>
      <c r="G34">
        <v>12000</v>
      </c>
      <c r="H34">
        <f t="shared" ref="H34:H65" si="1">F34*G34</f>
        <v>24000</v>
      </c>
      <c r="I34" t="s">
        <v>61</v>
      </c>
      <c r="J34" t="s">
        <v>105</v>
      </c>
    </row>
    <row r="35" spans="1:10" x14ac:dyDescent="0.3">
      <c r="A35">
        <v>1034</v>
      </c>
      <c r="B35" s="3" t="s">
        <v>110</v>
      </c>
      <c r="C35" t="s">
        <v>87</v>
      </c>
      <c r="D35" t="s">
        <v>16</v>
      </c>
      <c r="E35" t="s">
        <v>20</v>
      </c>
      <c r="F35">
        <v>7</v>
      </c>
      <c r="G35">
        <v>250</v>
      </c>
      <c r="H35">
        <f t="shared" si="1"/>
        <v>1750</v>
      </c>
      <c r="I35" t="s">
        <v>22</v>
      </c>
      <c r="J35" t="s">
        <v>26</v>
      </c>
    </row>
    <row r="36" spans="1:10" x14ac:dyDescent="0.3">
      <c r="A36">
        <v>1035</v>
      </c>
      <c r="B36" s="3" t="s">
        <v>111</v>
      </c>
      <c r="C36" t="s">
        <v>88</v>
      </c>
      <c r="D36" t="s">
        <v>19</v>
      </c>
      <c r="E36" t="s">
        <v>21</v>
      </c>
      <c r="F36">
        <v>3</v>
      </c>
      <c r="G36">
        <v>2800</v>
      </c>
      <c r="H36">
        <f t="shared" si="1"/>
        <v>8400</v>
      </c>
      <c r="I36" t="s">
        <v>23</v>
      </c>
      <c r="J36" t="s">
        <v>106</v>
      </c>
    </row>
    <row r="37" spans="1:10" x14ac:dyDescent="0.3">
      <c r="A37">
        <v>1036</v>
      </c>
      <c r="B37" s="3" t="s">
        <v>112</v>
      </c>
      <c r="C37" t="s">
        <v>89</v>
      </c>
      <c r="D37" t="s">
        <v>17</v>
      </c>
      <c r="E37" t="s">
        <v>21</v>
      </c>
      <c r="F37">
        <v>1</v>
      </c>
      <c r="G37">
        <v>3500</v>
      </c>
      <c r="H37">
        <f t="shared" si="1"/>
        <v>3500</v>
      </c>
      <c r="I37" t="s">
        <v>25</v>
      </c>
      <c r="J37" t="s">
        <v>28</v>
      </c>
    </row>
    <row r="38" spans="1:10" x14ac:dyDescent="0.3">
      <c r="A38">
        <v>1037</v>
      </c>
      <c r="B38" s="3">
        <v>46056</v>
      </c>
      <c r="C38" t="s">
        <v>90</v>
      </c>
      <c r="D38" t="s">
        <v>18</v>
      </c>
      <c r="E38" t="s">
        <v>20</v>
      </c>
      <c r="F38">
        <v>5</v>
      </c>
      <c r="G38">
        <v>450</v>
      </c>
      <c r="H38">
        <f t="shared" si="1"/>
        <v>2250</v>
      </c>
      <c r="I38" t="s">
        <v>24</v>
      </c>
      <c r="J38" t="s">
        <v>27</v>
      </c>
    </row>
    <row r="39" spans="1:10" x14ac:dyDescent="0.3">
      <c r="A39">
        <v>1038</v>
      </c>
      <c r="B39" s="3">
        <v>46115</v>
      </c>
      <c r="C39" t="s">
        <v>91</v>
      </c>
      <c r="D39" t="s">
        <v>56</v>
      </c>
      <c r="E39" t="s">
        <v>20</v>
      </c>
      <c r="F39">
        <v>3</v>
      </c>
      <c r="G39">
        <v>3500</v>
      </c>
      <c r="H39">
        <f t="shared" si="1"/>
        <v>10500</v>
      </c>
      <c r="I39" t="s">
        <v>22</v>
      </c>
      <c r="J39" t="s">
        <v>107</v>
      </c>
    </row>
    <row r="40" spans="1:10" x14ac:dyDescent="0.3">
      <c r="A40">
        <v>1039</v>
      </c>
      <c r="B40" s="3">
        <v>46176</v>
      </c>
      <c r="C40" t="s">
        <v>92</v>
      </c>
      <c r="D40" t="s">
        <v>57</v>
      </c>
      <c r="E40" t="s">
        <v>20</v>
      </c>
      <c r="F40">
        <v>2</v>
      </c>
      <c r="G40">
        <v>4200</v>
      </c>
      <c r="H40">
        <f t="shared" si="1"/>
        <v>8400</v>
      </c>
      <c r="I40" t="s">
        <v>59</v>
      </c>
      <c r="J40" t="s">
        <v>63</v>
      </c>
    </row>
    <row r="41" spans="1:10" x14ac:dyDescent="0.3">
      <c r="A41">
        <v>1040</v>
      </c>
      <c r="B41" s="3">
        <v>46268</v>
      </c>
      <c r="C41" t="s">
        <v>93</v>
      </c>
      <c r="D41" t="s">
        <v>15</v>
      </c>
      <c r="E41" t="s">
        <v>20</v>
      </c>
      <c r="F41">
        <v>1</v>
      </c>
      <c r="G41">
        <v>12000</v>
      </c>
      <c r="H41">
        <f t="shared" si="1"/>
        <v>12000</v>
      </c>
      <c r="I41" t="s">
        <v>61</v>
      </c>
      <c r="J41" t="s">
        <v>65</v>
      </c>
    </row>
    <row r="42" spans="1:10" x14ac:dyDescent="0.3">
      <c r="A42">
        <v>1041</v>
      </c>
      <c r="B42" s="3">
        <v>46298</v>
      </c>
      <c r="C42" t="s">
        <v>94</v>
      </c>
      <c r="D42" t="s">
        <v>16</v>
      </c>
      <c r="E42" t="s">
        <v>20</v>
      </c>
      <c r="F42">
        <v>8</v>
      </c>
      <c r="G42">
        <v>250</v>
      </c>
      <c r="H42">
        <f t="shared" si="1"/>
        <v>2000</v>
      </c>
      <c r="I42" t="s">
        <v>22</v>
      </c>
      <c r="J42" t="s">
        <v>29</v>
      </c>
    </row>
    <row r="43" spans="1:10" x14ac:dyDescent="0.3">
      <c r="A43">
        <v>1042</v>
      </c>
      <c r="B43" s="3">
        <v>46329</v>
      </c>
      <c r="C43" t="s">
        <v>95</v>
      </c>
      <c r="D43" t="s">
        <v>19</v>
      </c>
      <c r="E43" t="s">
        <v>21</v>
      </c>
      <c r="F43">
        <v>2</v>
      </c>
      <c r="G43">
        <v>2800</v>
      </c>
      <c r="H43">
        <f t="shared" si="1"/>
        <v>5600</v>
      </c>
      <c r="I43" t="s">
        <v>62</v>
      </c>
      <c r="J43" t="s">
        <v>66</v>
      </c>
    </row>
    <row r="44" spans="1:10" x14ac:dyDescent="0.3">
      <c r="A44">
        <v>1043</v>
      </c>
      <c r="B44" s="3" t="s">
        <v>169</v>
      </c>
      <c r="C44" t="s">
        <v>96</v>
      </c>
      <c r="D44" t="s">
        <v>17</v>
      </c>
      <c r="E44" t="s">
        <v>21</v>
      </c>
      <c r="F44">
        <v>2</v>
      </c>
      <c r="G44">
        <v>3500</v>
      </c>
      <c r="H44">
        <f t="shared" si="1"/>
        <v>7000</v>
      </c>
      <c r="I44" t="s">
        <v>22</v>
      </c>
      <c r="J44" t="s">
        <v>26</v>
      </c>
    </row>
    <row r="45" spans="1:10" x14ac:dyDescent="0.3">
      <c r="A45">
        <v>1044</v>
      </c>
      <c r="B45" s="3" t="s">
        <v>113</v>
      </c>
      <c r="C45" t="s">
        <v>97</v>
      </c>
      <c r="D45" t="s">
        <v>18</v>
      </c>
      <c r="E45" t="s">
        <v>20</v>
      </c>
      <c r="F45">
        <v>6</v>
      </c>
      <c r="G45">
        <v>450</v>
      </c>
      <c r="H45">
        <f t="shared" si="1"/>
        <v>2700</v>
      </c>
      <c r="I45" t="s">
        <v>58</v>
      </c>
      <c r="J45" t="s">
        <v>63</v>
      </c>
    </row>
    <row r="46" spans="1:10" x14ac:dyDescent="0.3">
      <c r="A46">
        <v>1045</v>
      </c>
      <c r="B46" s="3" t="s">
        <v>170</v>
      </c>
      <c r="C46" t="s">
        <v>98</v>
      </c>
      <c r="D46" t="s">
        <v>56</v>
      </c>
      <c r="E46" t="s">
        <v>20</v>
      </c>
      <c r="F46">
        <v>2</v>
      </c>
      <c r="G46">
        <v>3500</v>
      </c>
      <c r="H46">
        <f t="shared" si="1"/>
        <v>7000</v>
      </c>
      <c r="I46" t="s">
        <v>23</v>
      </c>
      <c r="J46" t="s">
        <v>106</v>
      </c>
    </row>
    <row r="47" spans="1:10" x14ac:dyDescent="0.3">
      <c r="A47">
        <v>1046</v>
      </c>
      <c r="B47" s="3" t="s">
        <v>114</v>
      </c>
      <c r="C47" t="s">
        <v>99</v>
      </c>
      <c r="D47" t="s">
        <v>57</v>
      </c>
      <c r="E47" t="s">
        <v>20</v>
      </c>
      <c r="F47">
        <v>1</v>
      </c>
      <c r="G47">
        <v>4200</v>
      </c>
      <c r="H47">
        <f t="shared" si="1"/>
        <v>4200</v>
      </c>
      <c r="I47" t="s">
        <v>25</v>
      </c>
      <c r="J47" t="s">
        <v>30</v>
      </c>
    </row>
    <row r="48" spans="1:10" x14ac:dyDescent="0.3">
      <c r="A48">
        <v>1047</v>
      </c>
      <c r="B48" s="3" t="s">
        <v>115</v>
      </c>
      <c r="C48" t="s">
        <v>100</v>
      </c>
      <c r="D48" t="s">
        <v>15</v>
      </c>
      <c r="E48" t="s">
        <v>20</v>
      </c>
      <c r="F48">
        <v>2</v>
      </c>
      <c r="G48">
        <v>12000</v>
      </c>
      <c r="H48">
        <f t="shared" si="1"/>
        <v>24000</v>
      </c>
      <c r="I48" t="s">
        <v>22</v>
      </c>
      <c r="J48" t="s">
        <v>26</v>
      </c>
    </row>
    <row r="49" spans="1:10" x14ac:dyDescent="0.3">
      <c r="A49">
        <v>1048</v>
      </c>
      <c r="B49" s="3" t="s">
        <v>116</v>
      </c>
      <c r="C49" t="s">
        <v>101</v>
      </c>
      <c r="D49" t="s">
        <v>16</v>
      </c>
      <c r="E49" t="s">
        <v>20</v>
      </c>
      <c r="F49">
        <v>9</v>
      </c>
      <c r="G49">
        <v>250</v>
      </c>
      <c r="H49">
        <f t="shared" si="1"/>
        <v>2250</v>
      </c>
      <c r="I49" t="s">
        <v>58</v>
      </c>
      <c r="J49" t="s">
        <v>29</v>
      </c>
    </row>
    <row r="50" spans="1:10" x14ac:dyDescent="0.3">
      <c r="A50">
        <v>1049</v>
      </c>
      <c r="B50" s="3" t="s">
        <v>117</v>
      </c>
      <c r="C50" t="s">
        <v>102</v>
      </c>
      <c r="D50" t="s">
        <v>19</v>
      </c>
      <c r="E50" t="s">
        <v>21</v>
      </c>
      <c r="F50">
        <v>1</v>
      </c>
      <c r="G50">
        <v>2800</v>
      </c>
      <c r="H50">
        <f t="shared" si="1"/>
        <v>2800</v>
      </c>
      <c r="I50" t="s">
        <v>59</v>
      </c>
      <c r="J50" t="s">
        <v>63</v>
      </c>
    </row>
    <row r="51" spans="1:10" x14ac:dyDescent="0.3">
      <c r="A51">
        <v>1050</v>
      </c>
      <c r="B51" s="3" t="s">
        <v>118</v>
      </c>
      <c r="C51" t="s">
        <v>103</v>
      </c>
      <c r="D51" t="s">
        <v>17</v>
      </c>
      <c r="E51" t="s">
        <v>21</v>
      </c>
      <c r="F51">
        <v>3</v>
      </c>
      <c r="G51">
        <v>3500</v>
      </c>
      <c r="H51">
        <f t="shared" si="1"/>
        <v>10500</v>
      </c>
      <c r="I51" t="s">
        <v>58</v>
      </c>
      <c r="J51" t="s">
        <v>29</v>
      </c>
    </row>
    <row r="52" spans="1:10" x14ac:dyDescent="0.3">
      <c r="A52">
        <v>1051</v>
      </c>
      <c r="B52" s="3" t="s">
        <v>119</v>
      </c>
      <c r="C52" t="s">
        <v>104</v>
      </c>
      <c r="D52" t="s">
        <v>15</v>
      </c>
      <c r="E52" t="s">
        <v>20</v>
      </c>
      <c r="F52">
        <v>1</v>
      </c>
      <c r="G52">
        <v>12000</v>
      </c>
      <c r="H52">
        <f t="shared" si="1"/>
        <v>12000</v>
      </c>
      <c r="I52" t="s">
        <v>22</v>
      </c>
      <c r="J52" t="s">
        <v>26</v>
      </c>
    </row>
    <row r="53" spans="1:10" x14ac:dyDescent="0.3">
      <c r="A53">
        <v>1052</v>
      </c>
      <c r="B53" s="3" t="s">
        <v>120</v>
      </c>
      <c r="C53" t="s">
        <v>123</v>
      </c>
      <c r="D53" t="s">
        <v>16</v>
      </c>
      <c r="E53" t="s">
        <v>20</v>
      </c>
      <c r="F53">
        <v>7</v>
      </c>
      <c r="G53">
        <v>250</v>
      </c>
      <c r="H53">
        <f t="shared" si="1"/>
        <v>1750</v>
      </c>
      <c r="I53" t="s">
        <v>23</v>
      </c>
      <c r="J53" t="s">
        <v>27</v>
      </c>
    </row>
    <row r="54" spans="1:10" x14ac:dyDescent="0.3">
      <c r="A54">
        <v>1053</v>
      </c>
      <c r="B54" s="3" t="s">
        <v>121</v>
      </c>
      <c r="C54" t="s">
        <v>124</v>
      </c>
      <c r="D54" t="s">
        <v>17</v>
      </c>
      <c r="E54" t="s">
        <v>21</v>
      </c>
      <c r="F54">
        <v>2</v>
      </c>
      <c r="G54">
        <v>3500</v>
      </c>
      <c r="H54">
        <f t="shared" si="1"/>
        <v>7000</v>
      </c>
      <c r="I54" t="s">
        <v>58</v>
      </c>
      <c r="J54" t="s">
        <v>29</v>
      </c>
    </row>
    <row r="55" spans="1:10" x14ac:dyDescent="0.3">
      <c r="A55">
        <v>1054</v>
      </c>
      <c r="B55" s="3" t="s">
        <v>122</v>
      </c>
      <c r="C55" t="s">
        <v>125</v>
      </c>
      <c r="D55" t="s">
        <v>19</v>
      </c>
      <c r="E55" t="s">
        <v>21</v>
      </c>
      <c r="F55">
        <v>2</v>
      </c>
      <c r="G55">
        <v>2800</v>
      </c>
      <c r="H55">
        <f t="shared" si="1"/>
        <v>5600</v>
      </c>
      <c r="I55" t="s">
        <v>59</v>
      </c>
      <c r="J55" t="s">
        <v>63</v>
      </c>
    </row>
    <row r="56" spans="1:10" x14ac:dyDescent="0.3">
      <c r="A56">
        <v>1055</v>
      </c>
      <c r="B56" s="3" t="s">
        <v>171</v>
      </c>
      <c r="C56" t="s">
        <v>126</v>
      </c>
      <c r="D56" t="s">
        <v>18</v>
      </c>
      <c r="E56" t="s">
        <v>20</v>
      </c>
      <c r="F56">
        <v>4</v>
      </c>
      <c r="G56">
        <v>450</v>
      </c>
      <c r="H56">
        <f t="shared" si="1"/>
        <v>1800</v>
      </c>
      <c r="I56" t="s">
        <v>22</v>
      </c>
      <c r="J56" t="s">
        <v>154</v>
      </c>
    </row>
    <row r="57" spans="1:10" x14ac:dyDescent="0.3">
      <c r="A57">
        <v>1056</v>
      </c>
      <c r="B57" s="3">
        <v>46026</v>
      </c>
      <c r="C57" t="s">
        <v>127</v>
      </c>
      <c r="D57" t="s">
        <v>56</v>
      </c>
      <c r="E57" t="s">
        <v>20</v>
      </c>
      <c r="F57">
        <v>2</v>
      </c>
      <c r="G57">
        <v>3500</v>
      </c>
      <c r="H57">
        <f t="shared" si="1"/>
        <v>7000</v>
      </c>
      <c r="I57" t="s">
        <v>25</v>
      </c>
      <c r="J57" t="s">
        <v>30</v>
      </c>
    </row>
    <row r="58" spans="1:10" x14ac:dyDescent="0.3">
      <c r="A58">
        <v>1057</v>
      </c>
      <c r="B58" s="3">
        <v>46057</v>
      </c>
      <c r="C58" t="s">
        <v>128</v>
      </c>
      <c r="D58" t="s">
        <v>57</v>
      </c>
      <c r="E58" t="s">
        <v>20</v>
      </c>
      <c r="F58">
        <v>1</v>
      </c>
      <c r="G58">
        <v>4200</v>
      </c>
      <c r="H58">
        <f t="shared" si="1"/>
        <v>4200</v>
      </c>
      <c r="I58" t="s">
        <v>24</v>
      </c>
      <c r="J58" t="s">
        <v>27</v>
      </c>
    </row>
    <row r="59" spans="1:10" x14ac:dyDescent="0.3">
      <c r="A59">
        <v>1058</v>
      </c>
      <c r="B59" s="3">
        <v>46207</v>
      </c>
      <c r="C59" t="s">
        <v>129</v>
      </c>
      <c r="D59" t="s">
        <v>15</v>
      </c>
      <c r="E59" t="s">
        <v>20</v>
      </c>
      <c r="F59">
        <v>3</v>
      </c>
      <c r="G59">
        <v>12000</v>
      </c>
      <c r="H59">
        <f t="shared" si="1"/>
        <v>36000</v>
      </c>
      <c r="I59" t="s">
        <v>61</v>
      </c>
      <c r="J59" t="s">
        <v>105</v>
      </c>
    </row>
    <row r="60" spans="1:10" x14ac:dyDescent="0.3">
      <c r="A60">
        <v>1059</v>
      </c>
      <c r="B60" s="3">
        <v>46238</v>
      </c>
      <c r="C60" t="s">
        <v>130</v>
      </c>
      <c r="D60" t="s">
        <v>16</v>
      </c>
      <c r="E60" t="s">
        <v>20</v>
      </c>
      <c r="F60">
        <v>8</v>
      </c>
      <c r="G60">
        <v>250</v>
      </c>
      <c r="H60">
        <f t="shared" si="1"/>
        <v>2000</v>
      </c>
      <c r="I60" t="s">
        <v>22</v>
      </c>
      <c r="J60" t="s">
        <v>154</v>
      </c>
    </row>
    <row r="61" spans="1:10" x14ac:dyDescent="0.3">
      <c r="A61">
        <v>1060</v>
      </c>
      <c r="B61" s="3">
        <v>46299</v>
      </c>
      <c r="C61" t="s">
        <v>131</v>
      </c>
      <c r="D61" t="s">
        <v>19</v>
      </c>
      <c r="E61" t="s">
        <v>21</v>
      </c>
      <c r="F61">
        <v>1</v>
      </c>
      <c r="G61">
        <v>2800</v>
      </c>
      <c r="H61">
        <f t="shared" si="1"/>
        <v>2800</v>
      </c>
      <c r="I61" t="s">
        <v>60</v>
      </c>
      <c r="J61" t="s">
        <v>66</v>
      </c>
    </row>
    <row r="62" spans="1:10" x14ac:dyDescent="0.3">
      <c r="A62">
        <v>1061</v>
      </c>
      <c r="B62" s="3">
        <v>46330</v>
      </c>
      <c r="C62" t="s">
        <v>132</v>
      </c>
      <c r="D62" t="s">
        <v>17</v>
      </c>
      <c r="E62" t="s">
        <v>21</v>
      </c>
      <c r="F62">
        <v>2</v>
      </c>
      <c r="G62">
        <v>3500</v>
      </c>
      <c r="H62">
        <f t="shared" si="1"/>
        <v>7000</v>
      </c>
      <c r="I62" t="s">
        <v>58</v>
      </c>
      <c r="J62" t="s">
        <v>29</v>
      </c>
    </row>
    <row r="63" spans="1:10" x14ac:dyDescent="0.3">
      <c r="A63">
        <v>1062</v>
      </c>
      <c r="B63" s="3" t="s">
        <v>172</v>
      </c>
      <c r="C63" t="s">
        <v>133</v>
      </c>
      <c r="D63" t="s">
        <v>18</v>
      </c>
      <c r="E63" t="s">
        <v>20</v>
      </c>
      <c r="F63">
        <v>5</v>
      </c>
      <c r="G63">
        <v>450</v>
      </c>
      <c r="H63">
        <f t="shared" si="1"/>
        <v>2250</v>
      </c>
      <c r="I63" t="s">
        <v>22</v>
      </c>
      <c r="J63" t="s">
        <v>154</v>
      </c>
    </row>
    <row r="64" spans="1:10" x14ac:dyDescent="0.3">
      <c r="A64">
        <v>1063</v>
      </c>
      <c r="B64" s="3" t="s">
        <v>173</v>
      </c>
      <c r="C64" t="s">
        <v>134</v>
      </c>
      <c r="D64" t="s">
        <v>56</v>
      </c>
      <c r="E64" t="s">
        <v>20</v>
      </c>
      <c r="F64">
        <v>3</v>
      </c>
      <c r="G64">
        <v>3500</v>
      </c>
      <c r="H64">
        <f t="shared" si="1"/>
        <v>10500</v>
      </c>
      <c r="I64" t="s">
        <v>23</v>
      </c>
      <c r="J64" t="s">
        <v>106</v>
      </c>
    </row>
    <row r="65" spans="1:10" x14ac:dyDescent="0.3">
      <c r="A65">
        <v>1064</v>
      </c>
      <c r="B65" s="3" t="s">
        <v>174</v>
      </c>
      <c r="C65" t="s">
        <v>135</v>
      </c>
      <c r="D65" t="s">
        <v>57</v>
      </c>
      <c r="E65" t="s">
        <v>20</v>
      </c>
      <c r="F65">
        <v>2</v>
      </c>
      <c r="G65">
        <v>4200</v>
      </c>
      <c r="H65">
        <f t="shared" si="1"/>
        <v>8400</v>
      </c>
      <c r="I65" t="s">
        <v>25</v>
      </c>
      <c r="J65" t="s">
        <v>30</v>
      </c>
    </row>
    <row r="66" spans="1:10" x14ac:dyDescent="0.3">
      <c r="A66">
        <v>1065</v>
      </c>
      <c r="B66" s="3" t="s">
        <v>175</v>
      </c>
      <c r="C66" t="s">
        <v>136</v>
      </c>
      <c r="D66" t="s">
        <v>15</v>
      </c>
      <c r="E66" t="s">
        <v>20</v>
      </c>
      <c r="F66">
        <v>1</v>
      </c>
      <c r="G66">
        <v>12000</v>
      </c>
      <c r="H66">
        <f t="shared" ref="H66:H97" si="2">F66*G66</f>
        <v>12000</v>
      </c>
      <c r="I66" t="s">
        <v>24</v>
      </c>
      <c r="J66" t="s">
        <v>27</v>
      </c>
    </row>
    <row r="67" spans="1:10" x14ac:dyDescent="0.3">
      <c r="A67">
        <v>1066</v>
      </c>
      <c r="B67" s="3" t="s">
        <v>176</v>
      </c>
      <c r="C67" t="s">
        <v>137</v>
      </c>
      <c r="D67" t="s">
        <v>16</v>
      </c>
      <c r="E67" t="s">
        <v>20</v>
      </c>
      <c r="F67">
        <v>10</v>
      </c>
      <c r="G67">
        <v>250</v>
      </c>
      <c r="H67">
        <f t="shared" si="2"/>
        <v>2500</v>
      </c>
      <c r="I67" t="s">
        <v>22</v>
      </c>
      <c r="J67" t="s">
        <v>26</v>
      </c>
    </row>
    <row r="68" spans="1:10" x14ac:dyDescent="0.3">
      <c r="A68">
        <v>1067</v>
      </c>
      <c r="B68" s="3" t="s">
        <v>177</v>
      </c>
      <c r="C68" t="s">
        <v>138</v>
      </c>
      <c r="D68" t="s">
        <v>19</v>
      </c>
      <c r="E68" t="s">
        <v>21</v>
      </c>
      <c r="F68">
        <v>2</v>
      </c>
      <c r="G68">
        <v>2800</v>
      </c>
      <c r="H68">
        <f t="shared" si="2"/>
        <v>5600</v>
      </c>
      <c r="I68" t="s">
        <v>59</v>
      </c>
      <c r="J68" t="s">
        <v>63</v>
      </c>
    </row>
    <row r="69" spans="1:10" x14ac:dyDescent="0.3">
      <c r="A69">
        <v>1068</v>
      </c>
      <c r="B69" s="3" t="s">
        <v>178</v>
      </c>
      <c r="C69" t="s">
        <v>139</v>
      </c>
      <c r="D69" t="s">
        <v>17</v>
      </c>
      <c r="E69" t="s">
        <v>21</v>
      </c>
      <c r="F69">
        <v>1</v>
      </c>
      <c r="G69">
        <v>3500</v>
      </c>
      <c r="H69">
        <f t="shared" si="2"/>
        <v>3500</v>
      </c>
      <c r="I69" t="s">
        <v>61</v>
      </c>
      <c r="J69" t="s">
        <v>105</v>
      </c>
    </row>
    <row r="70" spans="1:10" x14ac:dyDescent="0.3">
      <c r="A70">
        <v>1069</v>
      </c>
      <c r="B70" s="3">
        <v>46117</v>
      </c>
      <c r="C70" t="s">
        <v>10</v>
      </c>
      <c r="D70" t="s">
        <v>18</v>
      </c>
      <c r="E70" t="s">
        <v>20</v>
      </c>
      <c r="F70">
        <v>6</v>
      </c>
      <c r="G70">
        <v>450</v>
      </c>
      <c r="H70">
        <f t="shared" si="2"/>
        <v>2700</v>
      </c>
      <c r="I70" t="s">
        <v>22</v>
      </c>
      <c r="J70" t="s">
        <v>154</v>
      </c>
    </row>
    <row r="71" spans="1:10" x14ac:dyDescent="0.3">
      <c r="A71">
        <v>1070</v>
      </c>
      <c r="B71" s="3">
        <v>46178</v>
      </c>
      <c r="C71" t="s">
        <v>140</v>
      </c>
      <c r="D71" t="s">
        <v>56</v>
      </c>
      <c r="E71" t="s">
        <v>20</v>
      </c>
      <c r="F71">
        <v>2</v>
      </c>
      <c r="G71">
        <v>3500</v>
      </c>
      <c r="H71">
        <f t="shared" si="2"/>
        <v>7000</v>
      </c>
      <c r="I71" t="s">
        <v>62</v>
      </c>
      <c r="J71" t="s">
        <v>155</v>
      </c>
    </row>
    <row r="72" spans="1:10" x14ac:dyDescent="0.3">
      <c r="A72">
        <v>1071</v>
      </c>
      <c r="B72" s="3">
        <v>46208</v>
      </c>
      <c r="C72" t="s">
        <v>141</v>
      </c>
      <c r="D72" t="s">
        <v>57</v>
      </c>
      <c r="E72" t="s">
        <v>20</v>
      </c>
      <c r="F72">
        <v>1</v>
      </c>
      <c r="G72">
        <v>4200</v>
      </c>
      <c r="H72">
        <f t="shared" si="2"/>
        <v>4200</v>
      </c>
      <c r="I72" t="s">
        <v>22</v>
      </c>
      <c r="J72" t="s">
        <v>29</v>
      </c>
    </row>
    <row r="73" spans="1:10" x14ac:dyDescent="0.3">
      <c r="A73">
        <v>1072</v>
      </c>
      <c r="B73" s="3">
        <v>46239</v>
      </c>
      <c r="C73" t="s">
        <v>11</v>
      </c>
      <c r="D73" t="s">
        <v>15</v>
      </c>
      <c r="E73" t="s">
        <v>20</v>
      </c>
      <c r="F73">
        <v>2</v>
      </c>
      <c r="G73">
        <v>12000</v>
      </c>
      <c r="H73">
        <f t="shared" si="2"/>
        <v>24000</v>
      </c>
      <c r="I73" t="s">
        <v>58</v>
      </c>
      <c r="J73" t="s">
        <v>65</v>
      </c>
    </row>
    <row r="74" spans="1:10" x14ac:dyDescent="0.3">
      <c r="A74">
        <v>1073</v>
      </c>
      <c r="B74" s="3">
        <v>46331</v>
      </c>
      <c r="C74" t="s">
        <v>142</v>
      </c>
      <c r="D74" t="s">
        <v>16</v>
      </c>
      <c r="E74" t="s">
        <v>20</v>
      </c>
      <c r="F74">
        <v>9</v>
      </c>
      <c r="G74">
        <v>250</v>
      </c>
      <c r="H74">
        <f t="shared" si="2"/>
        <v>2250</v>
      </c>
      <c r="I74" t="s">
        <v>23</v>
      </c>
      <c r="J74" t="s">
        <v>106</v>
      </c>
    </row>
    <row r="75" spans="1:10" x14ac:dyDescent="0.3">
      <c r="A75">
        <v>1074</v>
      </c>
      <c r="B75" s="3">
        <v>46361</v>
      </c>
      <c r="C75" t="s">
        <v>51</v>
      </c>
      <c r="D75" t="s">
        <v>19</v>
      </c>
      <c r="E75" t="s">
        <v>21</v>
      </c>
      <c r="F75">
        <v>2</v>
      </c>
      <c r="G75">
        <v>2800</v>
      </c>
      <c r="H75">
        <f t="shared" si="2"/>
        <v>5600</v>
      </c>
      <c r="I75" t="s">
        <v>25</v>
      </c>
      <c r="J75" t="s">
        <v>156</v>
      </c>
    </row>
    <row r="76" spans="1:10" x14ac:dyDescent="0.3">
      <c r="A76">
        <v>1075</v>
      </c>
      <c r="B76" s="3" t="s">
        <v>179</v>
      </c>
      <c r="C76" t="s">
        <v>166</v>
      </c>
      <c r="D76" t="s">
        <v>17</v>
      </c>
      <c r="E76" t="s">
        <v>21</v>
      </c>
      <c r="F76">
        <v>3</v>
      </c>
      <c r="G76">
        <v>3500</v>
      </c>
      <c r="H76">
        <f t="shared" si="2"/>
        <v>10500</v>
      </c>
      <c r="I76" t="s">
        <v>22</v>
      </c>
      <c r="J76" t="s">
        <v>154</v>
      </c>
    </row>
    <row r="77" spans="1:10" x14ac:dyDescent="0.3">
      <c r="A77">
        <v>1076</v>
      </c>
      <c r="B77" s="3" t="s">
        <v>180</v>
      </c>
      <c r="C77" t="s">
        <v>46</v>
      </c>
      <c r="D77" t="s">
        <v>15</v>
      </c>
      <c r="E77" t="s">
        <v>20</v>
      </c>
      <c r="F77">
        <v>1</v>
      </c>
      <c r="G77">
        <v>12000</v>
      </c>
      <c r="H77">
        <f t="shared" si="2"/>
        <v>12000</v>
      </c>
      <c r="I77" t="s">
        <v>22</v>
      </c>
      <c r="J77" t="s">
        <v>26</v>
      </c>
    </row>
    <row r="78" spans="1:10" x14ac:dyDescent="0.3">
      <c r="A78">
        <v>1077</v>
      </c>
      <c r="B78" s="3" t="s">
        <v>181</v>
      </c>
      <c r="C78" t="s">
        <v>45</v>
      </c>
      <c r="D78" t="s">
        <v>16</v>
      </c>
      <c r="E78" t="s">
        <v>20</v>
      </c>
      <c r="F78">
        <v>8</v>
      </c>
      <c r="G78">
        <v>250</v>
      </c>
      <c r="H78">
        <f t="shared" si="2"/>
        <v>2000</v>
      </c>
      <c r="I78" t="s">
        <v>23</v>
      </c>
      <c r="J78" t="s">
        <v>106</v>
      </c>
    </row>
    <row r="79" spans="1:10" x14ac:dyDescent="0.3">
      <c r="A79">
        <v>1078</v>
      </c>
      <c r="B79" s="3" t="s">
        <v>182</v>
      </c>
      <c r="C79" t="s">
        <v>143</v>
      </c>
      <c r="D79" t="s">
        <v>17</v>
      </c>
      <c r="E79" t="s">
        <v>21</v>
      </c>
      <c r="F79">
        <v>2</v>
      </c>
      <c r="G79">
        <v>3500</v>
      </c>
      <c r="H79">
        <f t="shared" si="2"/>
        <v>7000</v>
      </c>
      <c r="I79" t="s">
        <v>58</v>
      </c>
      <c r="J79" t="s">
        <v>65</v>
      </c>
    </row>
    <row r="80" spans="1:10" x14ac:dyDescent="0.3">
      <c r="A80">
        <v>1079</v>
      </c>
      <c r="B80" s="3" t="s">
        <v>182</v>
      </c>
      <c r="C80" t="s">
        <v>128</v>
      </c>
      <c r="D80" t="s">
        <v>19</v>
      </c>
      <c r="E80" t="s">
        <v>21</v>
      </c>
      <c r="F80">
        <v>1</v>
      </c>
      <c r="G80">
        <v>2800</v>
      </c>
      <c r="H80">
        <f t="shared" si="2"/>
        <v>2800</v>
      </c>
      <c r="I80" t="s">
        <v>59</v>
      </c>
      <c r="J80" t="s">
        <v>64</v>
      </c>
    </row>
    <row r="81" spans="1:10" x14ac:dyDescent="0.3">
      <c r="A81">
        <v>1080</v>
      </c>
      <c r="B81" s="3" t="s">
        <v>183</v>
      </c>
      <c r="C81" t="s">
        <v>144</v>
      </c>
      <c r="D81" t="s">
        <v>18</v>
      </c>
      <c r="E81" t="s">
        <v>20</v>
      </c>
      <c r="F81">
        <v>5</v>
      </c>
      <c r="G81">
        <v>450</v>
      </c>
      <c r="H81">
        <f t="shared" si="2"/>
        <v>2250</v>
      </c>
      <c r="I81" t="s">
        <v>22</v>
      </c>
      <c r="J81" t="s">
        <v>29</v>
      </c>
    </row>
    <row r="82" spans="1:10" x14ac:dyDescent="0.3">
      <c r="A82">
        <v>1081</v>
      </c>
      <c r="B82" s="3" t="s">
        <v>184</v>
      </c>
      <c r="C82" t="s">
        <v>145</v>
      </c>
      <c r="D82" t="s">
        <v>56</v>
      </c>
      <c r="E82" t="s">
        <v>20</v>
      </c>
      <c r="F82">
        <v>2</v>
      </c>
      <c r="G82">
        <v>3500</v>
      </c>
      <c r="H82">
        <f t="shared" si="2"/>
        <v>7000</v>
      </c>
      <c r="I82" t="s">
        <v>25</v>
      </c>
      <c r="J82" t="s">
        <v>156</v>
      </c>
    </row>
    <row r="83" spans="1:10" x14ac:dyDescent="0.3">
      <c r="A83">
        <v>1082</v>
      </c>
      <c r="B83" s="3" t="s">
        <v>185</v>
      </c>
      <c r="C83" t="s">
        <v>45</v>
      </c>
      <c r="D83" t="s">
        <v>57</v>
      </c>
      <c r="E83" t="s">
        <v>20</v>
      </c>
      <c r="F83">
        <v>1</v>
      </c>
      <c r="G83">
        <v>4200</v>
      </c>
      <c r="H83">
        <f t="shared" si="2"/>
        <v>4200</v>
      </c>
      <c r="I83" t="s">
        <v>24</v>
      </c>
      <c r="J83" t="s">
        <v>28</v>
      </c>
    </row>
    <row r="84" spans="1:10" x14ac:dyDescent="0.3">
      <c r="A84">
        <v>1083</v>
      </c>
      <c r="B84" s="3" t="s">
        <v>186</v>
      </c>
      <c r="C84" t="s">
        <v>146</v>
      </c>
      <c r="D84" t="s">
        <v>15</v>
      </c>
      <c r="E84" t="s">
        <v>20</v>
      </c>
      <c r="F84">
        <v>3</v>
      </c>
      <c r="G84">
        <v>12000</v>
      </c>
      <c r="H84">
        <f t="shared" si="2"/>
        <v>36000</v>
      </c>
      <c r="I84" t="s">
        <v>61</v>
      </c>
      <c r="J84" t="s">
        <v>157</v>
      </c>
    </row>
    <row r="85" spans="1:10" x14ac:dyDescent="0.3">
      <c r="A85">
        <v>1084</v>
      </c>
      <c r="B85" s="3" t="s">
        <v>187</v>
      </c>
      <c r="C85" t="s">
        <v>93</v>
      </c>
      <c r="D85" t="s">
        <v>16</v>
      </c>
      <c r="E85" t="s">
        <v>20</v>
      </c>
      <c r="F85">
        <v>10</v>
      </c>
      <c r="G85">
        <v>250</v>
      </c>
      <c r="H85">
        <f t="shared" si="2"/>
        <v>2500</v>
      </c>
      <c r="I85" t="s">
        <v>22</v>
      </c>
      <c r="J85" t="s">
        <v>154</v>
      </c>
    </row>
    <row r="86" spans="1:10" x14ac:dyDescent="0.3">
      <c r="A86">
        <v>1085</v>
      </c>
      <c r="B86" s="3" t="s">
        <v>188</v>
      </c>
      <c r="C86" t="s">
        <v>147</v>
      </c>
      <c r="D86" t="s">
        <v>19</v>
      </c>
      <c r="E86" t="s">
        <v>21</v>
      </c>
      <c r="F86">
        <v>2</v>
      </c>
      <c r="G86">
        <v>2800</v>
      </c>
      <c r="H86">
        <f t="shared" si="2"/>
        <v>5600</v>
      </c>
      <c r="I86" t="s">
        <v>60</v>
      </c>
      <c r="J86" t="s">
        <v>158</v>
      </c>
    </row>
    <row r="87" spans="1:10" x14ac:dyDescent="0.3">
      <c r="A87">
        <v>1086</v>
      </c>
      <c r="B87" s="3" t="s">
        <v>189</v>
      </c>
      <c r="C87" t="s">
        <v>148</v>
      </c>
      <c r="D87" t="s">
        <v>17</v>
      </c>
      <c r="E87" t="s">
        <v>21</v>
      </c>
      <c r="F87">
        <v>1</v>
      </c>
      <c r="G87">
        <v>3500</v>
      </c>
      <c r="H87">
        <f t="shared" si="2"/>
        <v>3500</v>
      </c>
      <c r="I87" t="s">
        <v>58</v>
      </c>
      <c r="J87" t="s">
        <v>65</v>
      </c>
    </row>
    <row r="88" spans="1:10" x14ac:dyDescent="0.3">
      <c r="A88">
        <v>1087</v>
      </c>
      <c r="B88" s="3">
        <v>46028</v>
      </c>
      <c r="C88" t="s">
        <v>79</v>
      </c>
      <c r="D88" t="s">
        <v>18</v>
      </c>
      <c r="E88" t="s">
        <v>20</v>
      </c>
      <c r="F88">
        <v>6</v>
      </c>
      <c r="G88">
        <v>450</v>
      </c>
      <c r="H88">
        <f t="shared" si="2"/>
        <v>2700</v>
      </c>
      <c r="I88" t="s">
        <v>22</v>
      </c>
      <c r="J88" t="s">
        <v>154</v>
      </c>
    </row>
    <row r="89" spans="1:10" x14ac:dyDescent="0.3">
      <c r="A89">
        <v>1088</v>
      </c>
      <c r="B89" s="3">
        <v>46059</v>
      </c>
      <c r="C89" t="s">
        <v>94</v>
      </c>
      <c r="D89" t="s">
        <v>56</v>
      </c>
      <c r="E89" t="s">
        <v>20</v>
      </c>
      <c r="F89">
        <v>3</v>
      </c>
      <c r="G89">
        <v>3500</v>
      </c>
      <c r="H89">
        <f t="shared" si="2"/>
        <v>10500</v>
      </c>
      <c r="I89" t="s">
        <v>23</v>
      </c>
      <c r="J89" t="s">
        <v>159</v>
      </c>
    </row>
    <row r="90" spans="1:10" x14ac:dyDescent="0.3">
      <c r="A90">
        <v>1089</v>
      </c>
      <c r="B90" s="3">
        <v>46118</v>
      </c>
      <c r="C90" t="s">
        <v>149</v>
      </c>
      <c r="D90" t="s">
        <v>57</v>
      </c>
      <c r="E90" t="s">
        <v>20</v>
      </c>
      <c r="F90">
        <v>2</v>
      </c>
      <c r="G90">
        <v>4200</v>
      </c>
      <c r="H90">
        <f t="shared" si="2"/>
        <v>8400</v>
      </c>
      <c r="I90" t="s">
        <v>25</v>
      </c>
      <c r="J90" t="s">
        <v>156</v>
      </c>
    </row>
    <row r="91" spans="1:10" x14ac:dyDescent="0.3">
      <c r="A91">
        <v>1090</v>
      </c>
      <c r="B91" s="3">
        <v>46240</v>
      </c>
      <c r="C91" t="s">
        <v>42</v>
      </c>
      <c r="D91" t="s">
        <v>15</v>
      </c>
      <c r="E91" t="s">
        <v>20</v>
      </c>
      <c r="F91">
        <v>2</v>
      </c>
      <c r="G91">
        <v>12000</v>
      </c>
      <c r="H91">
        <f t="shared" si="2"/>
        <v>24000</v>
      </c>
      <c r="I91" t="s">
        <v>24</v>
      </c>
      <c r="J91" t="s">
        <v>28</v>
      </c>
    </row>
    <row r="92" spans="1:10" x14ac:dyDescent="0.3">
      <c r="A92">
        <v>1091</v>
      </c>
      <c r="B92" s="3">
        <v>46301</v>
      </c>
      <c r="C92" t="s">
        <v>150</v>
      </c>
      <c r="D92" t="s">
        <v>16</v>
      </c>
      <c r="E92" t="s">
        <v>20</v>
      </c>
      <c r="F92">
        <v>9</v>
      </c>
      <c r="G92">
        <v>250</v>
      </c>
      <c r="H92">
        <f t="shared" si="2"/>
        <v>2250</v>
      </c>
      <c r="I92" t="s">
        <v>22</v>
      </c>
      <c r="J92" t="s">
        <v>26</v>
      </c>
    </row>
    <row r="93" spans="1:10" x14ac:dyDescent="0.3">
      <c r="A93">
        <v>1092</v>
      </c>
      <c r="B93" s="3">
        <v>46332</v>
      </c>
      <c r="C93" t="s">
        <v>85</v>
      </c>
      <c r="D93" t="s">
        <v>19</v>
      </c>
      <c r="E93" t="s">
        <v>21</v>
      </c>
      <c r="F93">
        <v>1</v>
      </c>
      <c r="G93">
        <v>2800</v>
      </c>
      <c r="H93">
        <f t="shared" si="2"/>
        <v>2800</v>
      </c>
      <c r="I93" t="s">
        <v>59</v>
      </c>
      <c r="J93" t="s">
        <v>63</v>
      </c>
    </row>
    <row r="94" spans="1:10" x14ac:dyDescent="0.3">
      <c r="A94">
        <v>1093</v>
      </c>
      <c r="B94" s="3">
        <v>46362</v>
      </c>
      <c r="C94" t="s">
        <v>101</v>
      </c>
      <c r="D94" t="s">
        <v>17</v>
      </c>
      <c r="E94" t="s">
        <v>21</v>
      </c>
      <c r="F94">
        <v>2</v>
      </c>
      <c r="G94">
        <v>3500</v>
      </c>
      <c r="H94">
        <f t="shared" si="2"/>
        <v>7000</v>
      </c>
      <c r="I94" t="s">
        <v>61</v>
      </c>
      <c r="J94" t="s">
        <v>105</v>
      </c>
    </row>
    <row r="95" spans="1:10" x14ac:dyDescent="0.3">
      <c r="A95">
        <v>1094</v>
      </c>
      <c r="B95" s="3" t="s">
        <v>190</v>
      </c>
      <c r="C95" t="s">
        <v>128</v>
      </c>
      <c r="D95" t="s">
        <v>18</v>
      </c>
      <c r="E95" t="s">
        <v>20</v>
      </c>
      <c r="F95">
        <v>4</v>
      </c>
      <c r="G95">
        <v>450</v>
      </c>
      <c r="H95">
        <f t="shared" si="2"/>
        <v>1800</v>
      </c>
      <c r="I95" t="s">
        <v>22</v>
      </c>
      <c r="J95" t="s">
        <v>26</v>
      </c>
    </row>
    <row r="96" spans="1:10" x14ac:dyDescent="0.3">
      <c r="A96">
        <v>1095</v>
      </c>
      <c r="B96" s="3" t="s">
        <v>191</v>
      </c>
      <c r="C96" t="s">
        <v>151</v>
      </c>
      <c r="D96" t="s">
        <v>56</v>
      </c>
      <c r="E96" t="s">
        <v>20</v>
      </c>
      <c r="F96">
        <v>2</v>
      </c>
      <c r="G96">
        <v>3500</v>
      </c>
      <c r="H96">
        <f t="shared" si="2"/>
        <v>7000</v>
      </c>
      <c r="I96" t="s">
        <v>62</v>
      </c>
      <c r="J96" t="s">
        <v>155</v>
      </c>
    </row>
    <row r="97" spans="1:10" x14ac:dyDescent="0.3">
      <c r="A97">
        <v>1096</v>
      </c>
      <c r="B97" s="3" t="s">
        <v>192</v>
      </c>
      <c r="C97" t="s">
        <v>152</v>
      </c>
      <c r="D97" t="s">
        <v>57</v>
      </c>
      <c r="E97" t="s">
        <v>20</v>
      </c>
      <c r="F97">
        <v>1</v>
      </c>
      <c r="G97">
        <v>4200</v>
      </c>
      <c r="H97">
        <f t="shared" si="2"/>
        <v>4200</v>
      </c>
      <c r="I97" t="s">
        <v>22</v>
      </c>
      <c r="J97" t="s">
        <v>29</v>
      </c>
    </row>
    <row r="98" spans="1:10" x14ac:dyDescent="0.3">
      <c r="A98">
        <v>1097</v>
      </c>
      <c r="B98" s="3" t="s">
        <v>193</v>
      </c>
      <c r="C98" t="s">
        <v>153</v>
      </c>
      <c r="D98" t="s">
        <v>15</v>
      </c>
      <c r="E98" t="s">
        <v>20</v>
      </c>
      <c r="F98">
        <v>3</v>
      </c>
      <c r="G98">
        <v>12000</v>
      </c>
      <c r="H98">
        <f t="shared" ref="H98:H101" si="3">F98*G98</f>
        <v>36000</v>
      </c>
      <c r="I98" t="s">
        <v>58</v>
      </c>
      <c r="J98" t="s">
        <v>65</v>
      </c>
    </row>
    <row r="99" spans="1:10" x14ac:dyDescent="0.3">
      <c r="A99">
        <v>1098</v>
      </c>
      <c r="B99" s="3" t="s">
        <v>194</v>
      </c>
      <c r="C99" t="s">
        <v>102</v>
      </c>
      <c r="D99" t="s">
        <v>16</v>
      </c>
      <c r="E99" t="s">
        <v>20</v>
      </c>
      <c r="F99">
        <v>7</v>
      </c>
      <c r="G99">
        <v>250</v>
      </c>
      <c r="H99">
        <f t="shared" si="3"/>
        <v>1750</v>
      </c>
      <c r="I99" t="s">
        <v>23</v>
      </c>
      <c r="J99" t="s">
        <v>160</v>
      </c>
    </row>
    <row r="100" spans="1:10" x14ac:dyDescent="0.3">
      <c r="A100">
        <v>1099</v>
      </c>
      <c r="B100" s="3" t="s">
        <v>195</v>
      </c>
      <c r="C100" t="s">
        <v>11</v>
      </c>
      <c r="D100" t="s">
        <v>19</v>
      </c>
      <c r="E100" t="s">
        <v>21</v>
      </c>
      <c r="F100">
        <v>2</v>
      </c>
      <c r="G100">
        <v>2800</v>
      </c>
      <c r="H100">
        <f t="shared" si="3"/>
        <v>5600</v>
      </c>
      <c r="I100" t="s">
        <v>25</v>
      </c>
      <c r="J100" t="s">
        <v>161</v>
      </c>
    </row>
    <row r="101" spans="1:10" x14ac:dyDescent="0.3">
      <c r="A101">
        <v>1100</v>
      </c>
      <c r="B101" s="3" t="s">
        <v>196</v>
      </c>
      <c r="C101" t="s">
        <v>14</v>
      </c>
      <c r="D101" t="s">
        <v>17</v>
      </c>
      <c r="E101" t="s">
        <v>21</v>
      </c>
      <c r="F101">
        <v>3</v>
      </c>
      <c r="G101">
        <v>3500</v>
      </c>
      <c r="H101">
        <f t="shared" si="3"/>
        <v>10500</v>
      </c>
      <c r="I101" t="s">
        <v>22</v>
      </c>
      <c r="J101" t="s">
        <v>26</v>
      </c>
    </row>
    <row r="103" spans="1:10" x14ac:dyDescent="0.3">
      <c r="H103">
        <f>SUM(H2:H101)</f>
        <v>771400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PivotTable-Product</vt:lpstr>
      <vt:lpstr>PivotTable-Region</vt:lpstr>
      <vt:lpstr>PivotTable-Salesperson</vt:lpstr>
      <vt:lpstr>PivotTable-Category</vt:lpstr>
      <vt:lpstr>PivotTable-Date</vt:lpstr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Kaith</dc:creator>
  <cp:lastModifiedBy>Tebogo Waleng</cp:lastModifiedBy>
  <dcterms:created xsi:type="dcterms:W3CDTF">2026-07-18T17:42:44Z</dcterms:created>
  <dcterms:modified xsi:type="dcterms:W3CDTF">2026-08-10T05:27:39Z</dcterms:modified>
</cp:coreProperties>
</file>